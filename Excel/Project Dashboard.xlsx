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8c216599b63162a0/Pictures/Desktop/Excel Projects/Small Business Cashflow Tracker/"/>
    </mc:Choice>
  </mc:AlternateContent>
  <xr:revisionPtr revIDLastSave="13" documentId="8_{8325C938-4A24-4706-8705-A840CF758814}" xr6:coauthVersionLast="47" xr6:coauthVersionMax="47" xr10:uidLastSave="{394DA609-1CE7-47C6-96EF-8E2081BBF75C}"/>
  <bookViews>
    <workbookView xWindow="-110" yWindow="-110" windowWidth="19420" windowHeight="10300" tabRatio="716" xr2:uid="{1FD7E80B-8356-40F0-A03B-5C81AFD16ACA}"/>
  </bookViews>
  <sheets>
    <sheet name="Dashboard" sheetId="1" r:id="rId1"/>
    <sheet name="About." sheetId="11" state="hidden" r:id="rId2"/>
    <sheet name="Calculations" sheetId="10" state="hidden" r:id="rId3"/>
    <sheet name="Income" sheetId="2" r:id="rId4"/>
    <sheet name="Expenses" sheetId="3" r:id="rId5"/>
    <sheet name="Cash Flow" sheetId="4" r:id="rId6"/>
    <sheet name="Categories" sheetId="5" state="hidden" r:id="rId7"/>
    <sheet name="Vendors" sheetId="6" r:id="rId8"/>
    <sheet name="Settings" sheetId="7" state="hidden" r:id="rId9"/>
    <sheet name="Pivot Tables" sheetId="8" r:id="rId10"/>
  </sheets>
  <definedNames>
    <definedName name="ExpenseTable">Table2[#All]</definedName>
    <definedName name="IncomeTable">Income!$A$1:$I$121</definedName>
    <definedName name="Slicer_Category">#N/A</definedName>
    <definedName name="Slicer_Months__Date">#N/A</definedName>
    <definedName name="Slicer_Payment_Method">#N/A</definedName>
    <definedName name="Slicer_Vendor_Name">#N/A</definedName>
    <definedName name="VendorTable">Vendors!$A$1:$B$21</definedName>
  </definedNames>
  <calcPr calcId="191028"/>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 i="3" l="1"/>
  <c r="C2" i="10"/>
  <c r="B2" i="10"/>
  <c r="A2" i="10"/>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6" i="3"/>
  <c r="D7" i="3"/>
  <c r="D8" i="3"/>
  <c r="D9" i="3"/>
  <c r="D10" i="3"/>
  <c r="D11" i="3"/>
  <c r="D12" i="3"/>
  <c r="D3" i="3"/>
  <c r="D4" i="3"/>
  <c r="D5" i="3"/>
  <c r="D2" i="3"/>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2"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4" i="4"/>
  <c r="B5" i="4"/>
  <c r="B6" i="4"/>
  <c r="B3" i="4"/>
  <c r="B2" i="4"/>
  <c r="D2" i="4" l="1"/>
  <c r="D3" i="4" s="1"/>
  <c r="D4" i="4" s="1"/>
  <c r="D5" i="4" s="1"/>
  <c r="D6" i="4" s="1"/>
  <c r="D7" i="4" s="1"/>
  <c r="D8" i="4" s="1"/>
  <c r="D9" i="4"/>
  <c r="D10" i="4" s="1"/>
  <c r="D11" i="4" s="1"/>
  <c r="D12" i="4" s="1"/>
  <c r="D13" i="4" s="1"/>
  <c r="D14" i="4" s="1"/>
  <c r="D15" i="4" s="1"/>
  <c r="D16" i="4" s="1"/>
  <c r="D17" i="4" s="1"/>
  <c r="D18" i="4" s="1"/>
  <c r="D19" i="4" s="1"/>
  <c r="D20" i="4" s="1"/>
  <c r="D21" i="4" s="1"/>
  <c r="D22" i="4" s="1"/>
  <c r="D23" i="4" s="1"/>
  <c r="D24" i="4" s="1"/>
  <c r="D25" i="4" s="1"/>
  <c r="D26" i="4" s="1"/>
  <c r="D27" i="4" s="1"/>
  <c r="D28" i="4" s="1"/>
  <c r="D29" i="4" s="1"/>
  <c r="D30" i="4" s="1"/>
  <c r="D31" i="4" s="1"/>
  <c r="D32" i="4" s="1"/>
  <c r="D33" i="4" s="1"/>
  <c r="D34" i="4" s="1"/>
  <c r="D35" i="4" s="1"/>
  <c r="D36" i="4" s="1"/>
  <c r="D37" i="4" s="1"/>
  <c r="D38" i="4" s="1"/>
  <c r="D39" i="4" s="1"/>
  <c r="D40" i="4" s="1"/>
  <c r="D41" i="4" s="1"/>
  <c r="D42" i="4" s="1"/>
  <c r="D43" i="4" s="1"/>
  <c r="D44" i="4" s="1"/>
  <c r="D45" i="4" s="1"/>
  <c r="D46" i="4" s="1"/>
  <c r="D47" i="4" s="1"/>
  <c r="D48" i="4" s="1"/>
  <c r="D49" i="4" s="1"/>
  <c r="D50" i="4" s="1"/>
  <c r="D51" i="4" s="1"/>
  <c r="D52" i="4" s="1"/>
  <c r="D53" i="4" s="1"/>
  <c r="D54" i="4" s="1"/>
  <c r="D55" i="4" s="1"/>
  <c r="D56" i="4" s="1"/>
  <c r="D57" i="4" s="1"/>
  <c r="D58" i="4" s="1"/>
  <c r="D59" i="4" s="1"/>
  <c r="D60" i="4" s="1"/>
  <c r="D61" i="4" s="1"/>
  <c r="D62" i="4" s="1"/>
  <c r="D63" i="4" s="1"/>
  <c r="D64" i="4" s="1"/>
  <c r="D65" i="4" s="1"/>
  <c r="D66" i="4" s="1"/>
  <c r="D67" i="4" s="1"/>
  <c r="D68" i="4" s="1"/>
  <c r="D69" i="4" s="1"/>
  <c r="D70" i="4" s="1"/>
  <c r="D71" i="4" s="1"/>
  <c r="D72" i="4" s="1"/>
  <c r="D73" i="4" s="1"/>
  <c r="D74" i="4" s="1"/>
  <c r="D75" i="4" s="1"/>
  <c r="D76" i="4" s="1"/>
  <c r="D77" i="4" s="1"/>
  <c r="D78" i="4" s="1"/>
  <c r="D79" i="4" s="1"/>
  <c r="D80" i="4" s="1"/>
  <c r="D81" i="4" s="1"/>
  <c r="D82" i="4" s="1"/>
  <c r="D83" i="4" s="1"/>
  <c r="D84" i="4" s="1"/>
  <c r="D85" i="4" s="1"/>
  <c r="D86" i="4" s="1"/>
  <c r="D87" i="4" s="1"/>
  <c r="D88" i="4" s="1"/>
  <c r="D89" i="4" s="1"/>
  <c r="D90" i="4" s="1"/>
  <c r="D91" i="4" s="1"/>
  <c r="D92" i="4" s="1"/>
  <c r="D93" i="4" s="1"/>
  <c r="D94" i="4" s="1"/>
  <c r="D95" i="4" s="1"/>
  <c r="D96" i="4" s="1"/>
  <c r="D97" i="4" s="1"/>
  <c r="D98" i="4" s="1"/>
  <c r="D99" i="4" s="1"/>
  <c r="D100" i="4" s="1"/>
  <c r="D101" i="4" s="1"/>
  <c r="D102" i="4" s="1"/>
  <c r="D103" i="4" s="1"/>
  <c r="D104" i="4" s="1"/>
  <c r="D105" i="4" s="1"/>
  <c r="D106" i="4" s="1"/>
  <c r="D107" i="4" s="1"/>
  <c r="D108" i="4" s="1"/>
  <c r="D109" i="4" s="1"/>
  <c r="D110" i="4" s="1"/>
  <c r="D111" i="4" s="1"/>
  <c r="D112" i="4" s="1"/>
  <c r="D113" i="4" s="1"/>
  <c r="D114" i="4" s="1"/>
  <c r="D115" i="4" s="1"/>
  <c r="D116" i="4" s="1"/>
  <c r="D117" i="4" s="1"/>
  <c r="D118" i="4" s="1"/>
  <c r="D119" i="4" s="1"/>
  <c r="D120" i="4" s="1"/>
  <c r="D121" i="4" s="1"/>
  <c r="D122" i="4" s="1"/>
  <c r="D123" i="4" s="1"/>
  <c r="D124" i="4" s="1"/>
  <c r="D125" i="4" s="1"/>
  <c r="D126" i="4" s="1"/>
  <c r="D127" i="4" s="1"/>
  <c r="D128" i="4" s="1"/>
  <c r="D129" i="4" s="1"/>
  <c r="D130" i="4" s="1"/>
  <c r="D131" i="4" s="1"/>
  <c r="D132" i="4" s="1"/>
  <c r="D133" i="4" s="1"/>
  <c r="D134" i="4" s="1"/>
  <c r="D135" i="4" s="1"/>
  <c r="D136" i="4" s="1"/>
  <c r="D137" i="4" s="1"/>
  <c r="D138" i="4" s="1"/>
  <c r="D139" i="4" s="1"/>
  <c r="D140" i="4" s="1"/>
  <c r="D141" i="4" s="1"/>
  <c r="D142" i="4" s="1"/>
  <c r="D143" i="4" s="1"/>
  <c r="D144" i="4" s="1"/>
  <c r="D145" i="4" s="1"/>
  <c r="D146" i="4" s="1"/>
  <c r="D147" i="4" s="1"/>
  <c r="D148" i="4" s="1"/>
  <c r="D149" i="4" s="1"/>
  <c r="D150" i="4" s="1"/>
  <c r="D151" i="4" s="1"/>
  <c r="D152" i="4" s="1"/>
  <c r="D153" i="4" s="1"/>
  <c r="D154" i="4" s="1"/>
  <c r="D155" i="4" s="1"/>
  <c r="D156" i="4" s="1"/>
  <c r="D157" i="4" s="1"/>
  <c r="D158" i="4" s="1"/>
  <c r="D159" i="4" s="1"/>
  <c r="D160" i="4" s="1"/>
  <c r="D161" i="4" s="1"/>
  <c r="D162" i="4" s="1"/>
  <c r="D163" i="4" s="1"/>
  <c r="D164" i="4" s="1"/>
  <c r="D165" i="4" s="1"/>
  <c r="D166" i="4" s="1"/>
  <c r="D167" i="4" s="1"/>
  <c r="D168" i="4" s="1"/>
  <c r="D169" i="4" s="1"/>
  <c r="D170" i="4" s="1"/>
  <c r="D171" i="4" s="1"/>
  <c r="D172" i="4" s="1"/>
  <c r="D173" i="4" s="1"/>
  <c r="D174" i="4" s="1"/>
  <c r="D175" i="4" s="1"/>
  <c r="D176" i="4" s="1"/>
  <c r="D177" i="4" s="1"/>
  <c r="D178" i="4" s="1"/>
  <c r="D179" i="4" s="1"/>
  <c r="D180" i="4" s="1"/>
  <c r="D181" i="4" s="1"/>
  <c r="D182" i="4" s="1"/>
  <c r="D183" i="4" s="1"/>
  <c r="D184" i="4" s="1"/>
  <c r="D185" i="4" s="1"/>
  <c r="D186" i="4" s="1"/>
  <c r="D187" i="4" s="1"/>
  <c r="D188" i="4" s="1"/>
  <c r="D189" i="4" s="1"/>
  <c r="D190" i="4" s="1"/>
  <c r="D191" i="4" s="1"/>
  <c r="D192" i="4" s="1"/>
  <c r="D193" i="4" s="1"/>
  <c r="D194" i="4" s="1"/>
  <c r="D195" i="4" s="1"/>
  <c r="D196" i="4" s="1"/>
  <c r="D197" i="4" s="1"/>
  <c r="D198" i="4" s="1"/>
  <c r="D199" i="4" s="1"/>
  <c r="D200" i="4" s="1"/>
  <c r="D201" i="4" s="1"/>
  <c r="D202" i="4" s="1"/>
  <c r="D203" i="4" s="1"/>
  <c r="D204" i="4" s="1"/>
  <c r="D205" i="4" s="1"/>
  <c r="D206" i="4" s="1"/>
  <c r="D207" i="4" s="1"/>
  <c r="D208" i="4" s="1"/>
  <c r="D209" i="4" s="1"/>
  <c r="D210" i="4" s="1"/>
  <c r="D211" i="4" s="1"/>
  <c r="D212" i="4" s="1"/>
  <c r="D213" i="4" s="1"/>
  <c r="D214" i="4" s="1"/>
  <c r="D215" i="4" s="1"/>
  <c r="D216" i="4" s="1"/>
  <c r="D217" i="4" s="1"/>
  <c r="D218" i="4" s="1"/>
  <c r="D219" i="4" s="1"/>
  <c r="D220" i="4" s="1"/>
  <c r="D221" i="4" s="1"/>
  <c r="D222" i="4" s="1"/>
  <c r="D223" i="4" s="1"/>
  <c r="D224" i="4" s="1"/>
  <c r="D225" i="4" s="1"/>
  <c r="D226" i="4" s="1"/>
  <c r="D227" i="4" s="1"/>
  <c r="D228" i="4" s="1"/>
  <c r="D229" i="4" s="1"/>
  <c r="D230" i="4" s="1"/>
  <c r="D231" i="4" s="1"/>
  <c r="D232" i="4" s="1"/>
  <c r="D233" i="4" s="1"/>
  <c r="D234" i="4" s="1"/>
  <c r="D235" i="4" s="1"/>
  <c r="D236" i="4" s="1"/>
  <c r="D237" i="4" s="1"/>
  <c r="D238" i="4" s="1"/>
  <c r="D239" i="4" s="1"/>
  <c r="D240" i="4" s="1"/>
  <c r="D241" i="4" s="1"/>
  <c r="D242" i="4" s="1"/>
  <c r="D243" i="4" s="1"/>
  <c r="D244" i="4" s="1"/>
  <c r="D245" i="4" s="1"/>
  <c r="D246" i="4" s="1"/>
  <c r="D247" i="4" s="1"/>
  <c r="D248" i="4" s="1"/>
  <c r="D249" i="4" s="1"/>
  <c r="D250" i="4" s="1"/>
  <c r="D251" i="4" s="1"/>
  <c r="D252" i="4" s="1"/>
  <c r="D253" i="4" s="1"/>
  <c r="D254" i="4" s="1"/>
  <c r="D255" i="4" s="1"/>
  <c r="D256" i="4" s="1"/>
  <c r="D257" i="4" s="1"/>
  <c r="D258" i="4" s="1"/>
  <c r="D259" i="4" s="1"/>
  <c r="D260" i="4" s="1"/>
  <c r="D261" i="4" s="1"/>
  <c r="D262" i="4" s="1"/>
  <c r="D263" i="4" s="1"/>
  <c r="D264" i="4" s="1"/>
  <c r="D265" i="4" s="1"/>
  <c r="D266" i="4" s="1"/>
  <c r="D267" i="4" s="1"/>
  <c r="D268" i="4" s="1"/>
  <c r="D269" i="4" s="1"/>
  <c r="D270" i="4" s="1"/>
  <c r="D271" i="4" s="1"/>
  <c r="D272" i="4" s="1"/>
  <c r="D273" i="4" s="1"/>
  <c r="D274" i="4" s="1"/>
  <c r="D275" i="4" s="1"/>
  <c r="D276" i="4" s="1"/>
  <c r="D277" i="4" s="1"/>
  <c r="D278" i="4" s="1"/>
  <c r="D279" i="4" s="1"/>
  <c r="D280" i="4" s="1"/>
  <c r="D281" i="4" s="1"/>
  <c r="D282" i="4" s="1"/>
  <c r="D283" i="4" s="1"/>
  <c r="D284" i="4" s="1"/>
  <c r="D285" i="4" s="1"/>
  <c r="D286" i="4" s="1"/>
  <c r="D287" i="4" s="1"/>
  <c r="D288" i="4" s="1"/>
  <c r="D289" i="4" s="1"/>
  <c r="D290" i="4" s="1"/>
  <c r="D291" i="4" s="1"/>
  <c r="D292" i="4" s="1"/>
  <c r="D293" i="4" s="1"/>
  <c r="D294" i="4" s="1"/>
  <c r="D295" i="4" s="1"/>
  <c r="D296" i="4" s="1"/>
  <c r="D297" i="4" s="1"/>
  <c r="D298" i="4" s="1"/>
  <c r="D299" i="4" s="1"/>
  <c r="D300" i="4" s="1"/>
  <c r="D301" i="4" s="1"/>
  <c r="D302" i="4" s="1"/>
  <c r="D303" i="4" s="1"/>
  <c r="D304" i="4" s="1"/>
  <c r="D305" i="4" s="1"/>
  <c r="D306" i="4" s="1"/>
  <c r="D307" i="4" s="1"/>
  <c r="D308" i="4" s="1"/>
  <c r="D309" i="4" s="1"/>
  <c r="D310" i="4" s="1"/>
  <c r="D311" i="4" s="1"/>
  <c r="D312" i="4" s="1"/>
  <c r="D313" i="4" s="1"/>
  <c r="D314" i="4" s="1"/>
  <c r="D315" i="4" s="1"/>
  <c r="D316" i="4" s="1"/>
  <c r="D317" i="4" s="1"/>
  <c r="D318" i="4" s="1"/>
  <c r="D319" i="4" s="1"/>
  <c r="D320" i="4" s="1"/>
  <c r="D321" i="4" s="1"/>
  <c r="D322" i="4" s="1"/>
  <c r="D323" i="4" s="1"/>
  <c r="D324" i="4" s="1"/>
  <c r="D325" i="4" s="1"/>
  <c r="D326" i="4" s="1"/>
  <c r="D327" i="4" s="1"/>
  <c r="D328" i="4" s="1"/>
  <c r="D329" i="4" s="1"/>
  <c r="D330" i="4" s="1"/>
  <c r="D331" i="4" s="1"/>
  <c r="D332" i="4" s="1"/>
  <c r="D333" i="4" s="1"/>
  <c r="D334" i="4" s="1"/>
  <c r="D335" i="4" s="1"/>
  <c r="D336" i="4" s="1"/>
  <c r="D337" i="4" s="1"/>
  <c r="D338" i="4" s="1"/>
  <c r="D339" i="4" s="1"/>
  <c r="D340" i="4" s="1"/>
  <c r="D341" i="4" s="1"/>
  <c r="D342" i="4" s="1"/>
  <c r="D343" i="4" s="1"/>
  <c r="D344" i="4" s="1"/>
  <c r="D345" i="4" s="1"/>
  <c r="D346" i="4" s="1"/>
  <c r="D347" i="4" s="1"/>
  <c r="D348" i="4" s="1"/>
  <c r="D349" i="4" s="1"/>
  <c r="D350" i="4" s="1"/>
  <c r="D351" i="4" s="1"/>
  <c r="D352" i="4" s="1"/>
  <c r="D353" i="4" s="1"/>
  <c r="D354" i="4" s="1"/>
  <c r="D355" i="4" s="1"/>
  <c r="D356" i="4" s="1"/>
  <c r="D357" i="4" s="1"/>
  <c r="D358" i="4" s="1"/>
  <c r="D359" i="4" s="1"/>
  <c r="D360" i="4" s="1"/>
  <c r="D361" i="4" s="1"/>
  <c r="D362" i="4" s="1"/>
  <c r="D363" i="4" s="1"/>
  <c r="D364" i="4" s="1"/>
  <c r="D365" i="4" s="1"/>
  <c r="D366" i="4" s="1"/>
</calcChain>
</file>

<file path=xl/sharedStrings.xml><?xml version="1.0" encoding="utf-8"?>
<sst xmlns="http://schemas.openxmlformats.org/spreadsheetml/2006/main" count="1841" uniqueCount="468">
  <si>
    <t>Invoice No</t>
  </si>
  <si>
    <t>Date</t>
  </si>
  <si>
    <t>Customer</t>
  </si>
  <si>
    <t>Income Category</t>
  </si>
  <si>
    <t>Description</t>
  </si>
  <si>
    <t>Payment Method</t>
  </si>
  <si>
    <t>Amount</t>
  </si>
  <si>
    <t>Received By</t>
  </si>
  <si>
    <t>Remarks</t>
  </si>
  <si>
    <t>INV001</t>
  </si>
  <si>
    <t>Modern Homes</t>
  </si>
  <si>
    <t>Service Income</t>
  </si>
  <si>
    <t>Consultation</t>
  </si>
  <si>
    <t>Cash</t>
  </si>
  <si>
    <t>Rohit</t>
  </si>
  <si>
    <t>Completed</t>
  </si>
  <si>
    <t>INV002</t>
  </si>
  <si>
    <t>Royal Designers</t>
  </si>
  <si>
    <t>Delivery Charges</t>
  </si>
  <si>
    <t>Bank Transfer</t>
  </si>
  <si>
    <t>Jatin</t>
  </si>
  <si>
    <t>Cleared</t>
  </si>
  <si>
    <t>INV003</t>
  </si>
  <si>
    <t>Sunrise Traders</t>
  </si>
  <si>
    <t>Interest</t>
  </si>
  <si>
    <t>Bank Interest</t>
  </si>
  <si>
    <t>Priya</t>
  </si>
  <si>
    <t>INV004</t>
  </si>
  <si>
    <t>Elegant Living</t>
  </si>
  <si>
    <t>Debit Card</t>
  </si>
  <si>
    <t>Verified</t>
  </si>
  <si>
    <t>INV005</t>
  </si>
  <si>
    <t>Galaxy Furniture</t>
  </si>
  <si>
    <t>Sales</t>
  </si>
  <si>
    <t>MDF Boards</t>
  </si>
  <si>
    <t>INV006</t>
  </si>
  <si>
    <t>Build Masters</t>
  </si>
  <si>
    <t>Commission</t>
  </si>
  <si>
    <t>Sales Incentive</t>
  </si>
  <si>
    <t>Cheque</t>
  </si>
  <si>
    <t>System</t>
  </si>
  <si>
    <t>Received</t>
  </si>
  <si>
    <t>INV007</t>
  </si>
  <si>
    <t>Royal Furnishers</t>
  </si>
  <si>
    <t>Referral Commission</t>
  </si>
  <si>
    <t>Paid</t>
  </si>
  <si>
    <t>INV008</t>
  </si>
  <si>
    <t>INV009</t>
  </si>
  <si>
    <t>Dream House</t>
  </si>
  <si>
    <t>Decorative Panels</t>
  </si>
  <si>
    <t>UPI</t>
  </si>
  <si>
    <t>INV010</t>
  </si>
  <si>
    <t>City Decor</t>
  </si>
  <si>
    <t>Laminates</t>
  </si>
  <si>
    <t>INV011</t>
  </si>
  <si>
    <t>Dealer Commission</t>
  </si>
  <si>
    <t>Amit</t>
  </si>
  <si>
    <t>INV012</t>
  </si>
  <si>
    <t>Credit Card</t>
  </si>
  <si>
    <t>INV013</t>
  </si>
  <si>
    <t>Bright Living</t>
  </si>
  <si>
    <t>Other Income</t>
  </si>
  <si>
    <t>Misc Income</t>
  </si>
  <si>
    <t>Pending</t>
  </si>
  <si>
    <t>INV014</t>
  </si>
  <si>
    <t>Installation Service</t>
  </si>
  <si>
    <t>INV015</t>
  </si>
  <si>
    <t>Metro Homes</t>
  </si>
  <si>
    <t>Plywood Supply</t>
  </si>
  <si>
    <t>INV016</t>
  </si>
  <si>
    <t>Build Craft</t>
  </si>
  <si>
    <t>Scrap Sale</t>
  </si>
  <si>
    <t>INV017</t>
  </si>
  <si>
    <t>Nimbus Projects</t>
  </si>
  <si>
    <t>INV018</t>
  </si>
  <si>
    <t>Alpha Interiors</t>
  </si>
  <si>
    <t>Site Visit</t>
  </si>
  <si>
    <t>INV019</t>
  </si>
  <si>
    <t>INV020</t>
  </si>
  <si>
    <t>INV021</t>
  </si>
  <si>
    <t>Blue Star</t>
  </si>
  <si>
    <t>INV022</t>
  </si>
  <si>
    <t>INV023</t>
  </si>
  <si>
    <t>Interior Studio</t>
  </si>
  <si>
    <t>INV024</t>
  </si>
  <si>
    <t>Nova Furnishings</t>
  </si>
  <si>
    <t>INV025</t>
  </si>
  <si>
    <t>Green Woods</t>
  </si>
  <si>
    <t>INV026</t>
  </si>
  <si>
    <t>INV027</t>
  </si>
  <si>
    <t>Future Furniture</t>
  </si>
  <si>
    <t>INV028</t>
  </si>
  <si>
    <t>Smart Home</t>
  </si>
  <si>
    <t>INV029</t>
  </si>
  <si>
    <t>INV030</t>
  </si>
  <si>
    <t>INV031</t>
  </si>
  <si>
    <t>INV032</t>
  </si>
  <si>
    <t>Rahul Enterprises</t>
  </si>
  <si>
    <t>INV033</t>
  </si>
  <si>
    <t>INV034</t>
  </si>
  <si>
    <t>INV035</t>
  </si>
  <si>
    <t>Bright Designs</t>
  </si>
  <si>
    <t>INV036</t>
  </si>
  <si>
    <t>Home Plus</t>
  </si>
  <si>
    <t>INV037</t>
  </si>
  <si>
    <t>Sharma Traders</t>
  </si>
  <si>
    <t>INV038</t>
  </si>
  <si>
    <t>INV039</t>
  </si>
  <si>
    <t>Urban Living</t>
  </si>
  <si>
    <t>INV040</t>
  </si>
  <si>
    <t>Smart Furniture</t>
  </si>
  <si>
    <t>INV041</t>
  </si>
  <si>
    <t>Elegant Homes</t>
  </si>
  <si>
    <t>INV042</t>
  </si>
  <si>
    <t>Prime Traders</t>
  </si>
  <si>
    <t>INV043</t>
  </si>
  <si>
    <t>Dream Interiors</t>
  </si>
  <si>
    <t>INV044</t>
  </si>
  <si>
    <t>INV045</t>
  </si>
  <si>
    <t>Home Style</t>
  </si>
  <si>
    <t>INV046</t>
  </si>
  <si>
    <t>Home Vision</t>
  </si>
  <si>
    <t>INV047</t>
  </si>
  <si>
    <t>INV048</t>
  </si>
  <si>
    <t>Star Decor</t>
  </si>
  <si>
    <t>INV049</t>
  </si>
  <si>
    <t>Apex Retail</t>
  </si>
  <si>
    <t>INV050</t>
  </si>
  <si>
    <t>INV051</t>
  </si>
  <si>
    <t>INV052</t>
  </si>
  <si>
    <t>INV053</t>
  </si>
  <si>
    <t>INV054</t>
  </si>
  <si>
    <t>INV055</t>
  </si>
  <si>
    <t>Crystal Homes</t>
  </si>
  <si>
    <t>INV056</t>
  </si>
  <si>
    <t>Pioneer Furniture</t>
  </si>
  <si>
    <t>INV057</t>
  </si>
  <si>
    <t>INV058</t>
  </si>
  <si>
    <t>INV059</t>
  </si>
  <si>
    <t>Premium Decor</t>
  </si>
  <si>
    <t>INV060</t>
  </si>
  <si>
    <t>Quality Wood</t>
  </si>
  <si>
    <t>INV061</t>
  </si>
  <si>
    <t>Vision Interiors</t>
  </si>
  <si>
    <t>INV062</t>
  </si>
  <si>
    <t>INV063</t>
  </si>
  <si>
    <t>INV064</t>
  </si>
  <si>
    <t>INV065</t>
  </si>
  <si>
    <t>Oakline</t>
  </si>
  <si>
    <t>INV066</t>
  </si>
  <si>
    <t>INV067</t>
  </si>
  <si>
    <t>Vertex Build</t>
  </si>
  <si>
    <t>INV068</t>
  </si>
  <si>
    <t>Happy Furniture</t>
  </si>
  <si>
    <t>INV069</t>
  </si>
  <si>
    <t>INV070</t>
  </si>
  <si>
    <t>INV071</t>
  </si>
  <si>
    <t>INV072</t>
  </si>
  <si>
    <t>INV073</t>
  </si>
  <si>
    <t>INV074</t>
  </si>
  <si>
    <t>INV075</t>
  </si>
  <si>
    <t>INV076</t>
  </si>
  <si>
    <t>INV077</t>
  </si>
  <si>
    <t>INV078</t>
  </si>
  <si>
    <t>Urban Spaces</t>
  </si>
  <si>
    <t>INV079</t>
  </si>
  <si>
    <t>INV080</t>
  </si>
  <si>
    <t>Sky Furniture</t>
  </si>
  <si>
    <t>INV081</t>
  </si>
  <si>
    <t>INV082</t>
  </si>
  <si>
    <t>INV083</t>
  </si>
  <si>
    <t>INV084</t>
  </si>
  <si>
    <t>INV085</t>
  </si>
  <si>
    <t>NextGen Decor</t>
  </si>
  <si>
    <t>HDHMR Boards</t>
  </si>
  <si>
    <t>INV086</t>
  </si>
  <si>
    <t>Alpha Decor</t>
  </si>
  <si>
    <t>INV087</t>
  </si>
  <si>
    <t>INV088</t>
  </si>
  <si>
    <t>INV089</t>
  </si>
  <si>
    <t>INV090</t>
  </si>
  <si>
    <t>INV091</t>
  </si>
  <si>
    <t>Interior Hub</t>
  </si>
  <si>
    <t>INV092</t>
  </si>
  <si>
    <t>INV093</t>
  </si>
  <si>
    <t>INV094</t>
  </si>
  <si>
    <t>Krishna Traders</t>
  </si>
  <si>
    <t>INV095</t>
  </si>
  <si>
    <t>INV096</t>
  </si>
  <si>
    <t>INV097</t>
  </si>
  <si>
    <t>INV098</t>
  </si>
  <si>
    <t>INV099</t>
  </si>
  <si>
    <t>INV100</t>
  </si>
  <si>
    <t>INV101</t>
  </si>
  <si>
    <t>Flush Doors</t>
  </si>
  <si>
    <t>INV102</t>
  </si>
  <si>
    <t>INV103</t>
  </si>
  <si>
    <t>INV104</t>
  </si>
  <si>
    <t>Zenith Traders</t>
  </si>
  <si>
    <t>INV105</t>
  </si>
  <si>
    <t>INV106</t>
  </si>
  <si>
    <t>INV107</t>
  </si>
  <si>
    <t>INV108</t>
  </si>
  <si>
    <t>INV109</t>
  </si>
  <si>
    <t>INV110</t>
  </si>
  <si>
    <t>INV111</t>
  </si>
  <si>
    <t>INV112</t>
  </si>
  <si>
    <t>INV113</t>
  </si>
  <si>
    <t>INV114</t>
  </si>
  <si>
    <t>INV115</t>
  </si>
  <si>
    <t>John Traders</t>
  </si>
  <si>
    <t>INV116</t>
  </si>
  <si>
    <t>Block Board</t>
  </si>
  <si>
    <t>INV117</t>
  </si>
  <si>
    <t>INV118</t>
  </si>
  <si>
    <t>INV119</t>
  </si>
  <si>
    <t>INV120</t>
  </si>
  <si>
    <t>Expense ID</t>
  </si>
  <si>
    <t>Vendor Name</t>
  </si>
  <si>
    <t>Vendor ID</t>
  </si>
  <si>
    <t>Category</t>
  </si>
  <si>
    <t>Status</t>
  </si>
  <si>
    <t>Approved By</t>
  </si>
  <si>
    <t>EXP001</t>
  </si>
  <si>
    <t>City Electric</t>
  </si>
  <si>
    <t>Software</t>
  </si>
  <si>
    <t>Microsoft 365</t>
  </si>
  <si>
    <t>EXP002</t>
  </si>
  <si>
    <t>Courier Express</t>
  </si>
  <si>
    <t>Fuel</t>
  </si>
  <si>
    <t>Petrol</t>
  </si>
  <si>
    <t>EXP003</t>
  </si>
  <si>
    <t>Prime Software</t>
  </si>
  <si>
    <t>Miscellaneous</t>
  </si>
  <si>
    <t>Tea &amp; Snacks</t>
  </si>
  <si>
    <t>EXP004</t>
  </si>
  <si>
    <t>Repair Hub</t>
  </si>
  <si>
    <t>Salary</t>
  </si>
  <si>
    <t>Sales Salary</t>
  </si>
  <si>
    <t>Manager</t>
  </si>
  <si>
    <t>EXP005</t>
  </si>
  <si>
    <t>Office Depot</t>
  </si>
  <si>
    <t>Packaging</t>
  </si>
  <si>
    <t>Boxes</t>
  </si>
  <si>
    <t>EXP006</t>
  </si>
  <si>
    <t>Power Company</t>
  </si>
  <si>
    <t>Internet</t>
  </si>
  <si>
    <t>Broadband Bill</t>
  </si>
  <si>
    <t>EXP007</t>
  </si>
  <si>
    <t>XYZ Logistics</t>
  </si>
  <si>
    <t>CRM Subscription</t>
  </si>
  <si>
    <t>EXP008</t>
  </si>
  <si>
    <t>Secure Insurance</t>
  </si>
  <si>
    <t>EXP009</t>
  </si>
  <si>
    <t>Warehouse Supplies</t>
  </si>
  <si>
    <t>Marketing</t>
  </si>
  <si>
    <t>Banner Printing</t>
  </si>
  <si>
    <t>EXP010</t>
  </si>
  <si>
    <t>Packing Tape</t>
  </si>
  <si>
    <t>EXP011</t>
  </si>
  <si>
    <t>CleanPro Services</t>
  </si>
  <si>
    <t>Insurance</t>
  </si>
  <si>
    <t>Business Insurance</t>
  </si>
  <si>
    <t>EXP012</t>
  </si>
  <si>
    <t>EXP013</t>
  </si>
  <si>
    <t>EXP014</t>
  </si>
  <si>
    <t>Water Utility</t>
  </si>
  <si>
    <t>EXP015</t>
  </si>
  <si>
    <t>Office Supplies</t>
  </si>
  <si>
    <t>Ink Cartridges</t>
  </si>
  <si>
    <t>EXP016</t>
  </si>
  <si>
    <t>Tax</t>
  </si>
  <si>
    <t>GST Payment</t>
  </si>
  <si>
    <t>EXP017</t>
  </si>
  <si>
    <t>Internet Provider</t>
  </si>
  <si>
    <t>Rent</t>
  </si>
  <si>
    <t>Office Rent</t>
  </si>
  <si>
    <t>EXP018</t>
  </si>
  <si>
    <t>EXP019</t>
  </si>
  <si>
    <t>EXP020</t>
  </si>
  <si>
    <t>Quick Transport</t>
  </si>
  <si>
    <t>Professional Tax</t>
  </si>
  <si>
    <t>EXP021</t>
  </si>
  <si>
    <t>Bubble Wrap</t>
  </si>
  <si>
    <t>EXP022</t>
  </si>
  <si>
    <t>EXP023</t>
  </si>
  <si>
    <t>EXP024</t>
  </si>
  <si>
    <t>EXP025</t>
  </si>
  <si>
    <t>EXP026</t>
  </si>
  <si>
    <t>Fuel Station</t>
  </si>
  <si>
    <t>Facebook Ads</t>
  </si>
  <si>
    <t>EXP027</t>
  </si>
  <si>
    <t>EXP028</t>
  </si>
  <si>
    <t>EXP029</t>
  </si>
  <si>
    <t>Print Solutions</t>
  </si>
  <si>
    <t>Staff Salary</t>
  </si>
  <si>
    <t>EXP030</t>
  </si>
  <si>
    <t>EXP031</t>
  </si>
  <si>
    <t>Repair</t>
  </si>
  <si>
    <t>Office Repair</t>
  </si>
  <si>
    <t>EXP032</t>
  </si>
  <si>
    <t>EXP033</t>
  </si>
  <si>
    <t>Marketing Agency</t>
  </si>
  <si>
    <t>EXP034</t>
  </si>
  <si>
    <t>Stationery World</t>
  </si>
  <si>
    <t>EXP035</t>
  </si>
  <si>
    <t>EXP036</t>
  </si>
  <si>
    <t>Tax Office</t>
  </si>
  <si>
    <t>EXP037</t>
  </si>
  <si>
    <t>EXP038</t>
  </si>
  <si>
    <t>EXP039</t>
  </si>
  <si>
    <t>Electricity</t>
  </si>
  <si>
    <t>Monthly Electric Bill</t>
  </si>
  <si>
    <t>EXP040</t>
  </si>
  <si>
    <t>EXP041</t>
  </si>
  <si>
    <t>ABC Packaging</t>
  </si>
  <si>
    <t>EXP042</t>
  </si>
  <si>
    <t>EXP043</t>
  </si>
  <si>
    <t>EXP044</t>
  </si>
  <si>
    <t>Warehouse Rent</t>
  </si>
  <si>
    <t>EXP045</t>
  </si>
  <si>
    <t>EXP046</t>
  </si>
  <si>
    <t>Furniture House</t>
  </si>
  <si>
    <t>EXP047</t>
  </si>
  <si>
    <t>Cleaning Supplies</t>
  </si>
  <si>
    <t>EXP048</t>
  </si>
  <si>
    <t>EXP049</t>
  </si>
  <si>
    <t>Google Ads</t>
  </si>
  <si>
    <t>EXP050</t>
  </si>
  <si>
    <t>Transportation</t>
  </si>
  <si>
    <t>Freight Charges</t>
  </si>
  <si>
    <t>EXP051</t>
  </si>
  <si>
    <t>Machine Repair</t>
  </si>
  <si>
    <t>EXP052</t>
  </si>
  <si>
    <t>Diesel</t>
  </si>
  <si>
    <t>EXP053</t>
  </si>
  <si>
    <t>EXP054</t>
  </si>
  <si>
    <t>EXP055</t>
  </si>
  <si>
    <t>EXP056</t>
  </si>
  <si>
    <t>EXP057</t>
  </si>
  <si>
    <t>EXP058</t>
  </si>
  <si>
    <t>EXP059</t>
  </si>
  <si>
    <t>EXP060</t>
  </si>
  <si>
    <t>EXP061</t>
  </si>
  <si>
    <t>EXP062</t>
  </si>
  <si>
    <t>Flyers</t>
  </si>
  <si>
    <t>EXP063</t>
  </si>
  <si>
    <t>EXP064</t>
  </si>
  <si>
    <t>EXP065</t>
  </si>
  <si>
    <t>EXP066</t>
  </si>
  <si>
    <t>Misc Expense</t>
  </si>
  <si>
    <t>EXP067</t>
  </si>
  <si>
    <t>EXP068</t>
  </si>
  <si>
    <t>EXP069</t>
  </si>
  <si>
    <t>EXP070</t>
  </si>
  <si>
    <t>EXP071</t>
  </si>
  <si>
    <t>EXP072</t>
  </si>
  <si>
    <t>EXP073</t>
  </si>
  <si>
    <t>EXP074</t>
  </si>
  <si>
    <t>EXP075</t>
  </si>
  <si>
    <t>Accounting Software</t>
  </si>
  <si>
    <t>EXP076</t>
  </si>
  <si>
    <t>EXP077</t>
  </si>
  <si>
    <t>EXP078</t>
  </si>
  <si>
    <t>EXP079</t>
  </si>
  <si>
    <t>EXP080</t>
  </si>
  <si>
    <t>EXP081</t>
  </si>
  <si>
    <t>EXP082</t>
  </si>
  <si>
    <t>EXP083</t>
  </si>
  <si>
    <t>EXP084</t>
  </si>
  <si>
    <t>EXP085</t>
  </si>
  <si>
    <t>EXP086</t>
  </si>
  <si>
    <t>EXP087</t>
  </si>
  <si>
    <t>EXP088</t>
  </si>
  <si>
    <t>EXP089</t>
  </si>
  <si>
    <t>EXP090</t>
  </si>
  <si>
    <t>EXP091</t>
  </si>
  <si>
    <t>EXP092</t>
  </si>
  <si>
    <t>EXP093</t>
  </si>
  <si>
    <t>EXP094</t>
  </si>
  <si>
    <t>EXP095</t>
  </si>
  <si>
    <t>EXP096</t>
  </si>
  <si>
    <t>EXP097</t>
  </si>
  <si>
    <t>EXP098</t>
  </si>
  <si>
    <t>EXP099</t>
  </si>
  <si>
    <t>EXP100</t>
  </si>
  <si>
    <t>EXP101</t>
  </si>
  <si>
    <t>EXP102</t>
  </si>
  <si>
    <t>EXP103</t>
  </si>
  <si>
    <t>EXP104</t>
  </si>
  <si>
    <t>EXP105</t>
  </si>
  <si>
    <t>EXP106</t>
  </si>
  <si>
    <t>EXP107</t>
  </si>
  <si>
    <t>EXP108</t>
  </si>
  <si>
    <t>EXP109</t>
  </si>
  <si>
    <t>EXP110</t>
  </si>
  <si>
    <t>EXP111</t>
  </si>
  <si>
    <t>EXP112</t>
  </si>
  <si>
    <t>EXP113</t>
  </si>
  <si>
    <t>EXP114</t>
  </si>
  <si>
    <t>EXP115</t>
  </si>
  <si>
    <t>EXP116</t>
  </si>
  <si>
    <t>EXP117</t>
  </si>
  <si>
    <t>EXP118</t>
  </si>
  <si>
    <t>EXP119</t>
  </si>
  <si>
    <t>Files</t>
  </si>
  <si>
    <t>EXP120</t>
  </si>
  <si>
    <t>Cash In</t>
  </si>
  <si>
    <t>Cash Out</t>
  </si>
  <si>
    <t>Running Balance</t>
  </si>
  <si>
    <r>
      <t xml:space="preserve">Expenses greater than </t>
    </r>
    <r>
      <rPr>
        <b/>
        <sz val="11"/>
        <color theme="1"/>
        <rFont val="Calibri"/>
        <family val="2"/>
        <scheme val="minor"/>
      </rPr>
      <t>$1,000</t>
    </r>
    <r>
      <rPr>
        <sz val="11"/>
        <color theme="1"/>
        <rFont val="Calibri"/>
        <family val="2"/>
        <scheme val="minor"/>
      </rPr>
      <t xml:space="preserve"> → Red fill.</t>
    </r>
  </si>
  <si>
    <t>Pending payments → Yellow fill.</t>
  </si>
  <si>
    <r>
      <t xml:space="preserve">Income greater than </t>
    </r>
    <r>
      <rPr>
        <b/>
        <sz val="11"/>
        <color theme="1"/>
        <rFont val="Calibri"/>
        <family val="2"/>
        <scheme val="minor"/>
      </rPr>
      <t>$5,000</t>
    </r>
    <r>
      <rPr>
        <sz val="11"/>
        <color theme="1"/>
        <rFont val="Calibri"/>
        <family val="2"/>
        <scheme val="minor"/>
      </rPr>
      <t xml:space="preserve"> → Green fill.</t>
    </r>
  </si>
  <si>
    <t>Income</t>
  </si>
  <si>
    <t>Expense</t>
  </si>
  <si>
    <t>Payment Methods</t>
  </si>
  <si>
    <t>V001</t>
  </si>
  <si>
    <t>V002</t>
  </si>
  <si>
    <t>V003</t>
  </si>
  <si>
    <t>V004</t>
  </si>
  <si>
    <t>V005</t>
  </si>
  <si>
    <t>V006</t>
  </si>
  <si>
    <t>V007</t>
  </si>
  <si>
    <t>V008</t>
  </si>
  <si>
    <t>V009</t>
  </si>
  <si>
    <t>V010</t>
  </si>
  <si>
    <t>V011</t>
  </si>
  <si>
    <t>V012</t>
  </si>
  <si>
    <t>V013</t>
  </si>
  <si>
    <t>V014</t>
  </si>
  <si>
    <t>V015</t>
  </si>
  <si>
    <t>V016</t>
  </si>
  <si>
    <t>V017</t>
  </si>
  <si>
    <t>V018</t>
  </si>
  <si>
    <t>V019</t>
  </si>
  <si>
    <t>V020</t>
  </si>
  <si>
    <t>Business Name</t>
  </si>
  <si>
    <t>ABC Trading Company</t>
  </si>
  <si>
    <t>Owner</t>
  </si>
  <si>
    <t>John Smith</t>
  </si>
  <si>
    <t>Currency</t>
  </si>
  <si>
    <t>USD</t>
  </si>
  <si>
    <t>Financial Year</t>
  </si>
  <si>
    <t>Opening Balance</t>
  </si>
  <si>
    <t>Months (Date)</t>
  </si>
  <si>
    <t>Months</t>
  </si>
  <si>
    <t>Top Vendors</t>
  </si>
  <si>
    <t>Expense Amount</t>
  </si>
  <si>
    <t>Jan</t>
  </si>
  <si>
    <t>Feb</t>
  </si>
  <si>
    <t>Mar</t>
  </si>
  <si>
    <t>Apr</t>
  </si>
  <si>
    <t>May</t>
  </si>
  <si>
    <t>Jun</t>
  </si>
  <si>
    <t>Aug</t>
  </si>
  <si>
    <t>Oct</t>
  </si>
  <si>
    <t>Nov</t>
  </si>
  <si>
    <t>Grand Total</t>
  </si>
  <si>
    <t>Small Business Cash Flow &amp; Expense Dashboard</t>
  </si>
  <si>
    <t>Total income</t>
  </si>
  <si>
    <t>Total expense</t>
  </si>
  <si>
    <t>Net profit</t>
  </si>
  <si>
    <t>Highest expense</t>
  </si>
  <si>
    <r>
      <t>Developed by:</t>
    </r>
    <r>
      <rPr>
        <sz val="11"/>
        <color theme="1"/>
        <rFont val="Calibri"/>
        <family val="2"/>
        <scheme val="minor"/>
      </rPr>
      <t xml:space="preserve"> Jatin Singh</t>
    </r>
  </si>
  <si>
    <r>
      <t>Project Type:</t>
    </r>
    <r>
      <rPr>
        <sz val="11"/>
        <color theme="1"/>
        <rFont val="Calibri"/>
        <family val="2"/>
        <scheme val="minor"/>
      </rPr>
      <t xml:space="preserve"> Microsoft Excel Dashboard Project</t>
    </r>
  </si>
  <si>
    <r>
      <t>Purpose:</t>
    </r>
    <r>
      <rPr>
        <sz val="11"/>
        <color theme="1"/>
        <rFont val="Calibri"/>
        <family val="2"/>
        <scheme val="minor"/>
      </rPr>
      <t xml:space="preserve"> Portfolio Project – Data Analytics &amp; Excel Freelancing</t>
    </r>
  </si>
  <si>
    <r>
      <t>Version:</t>
    </r>
    <r>
      <rPr>
        <sz val="11"/>
        <color theme="1"/>
        <rFont val="Calibri"/>
        <family val="2"/>
        <scheme val="minor"/>
      </rPr>
      <t xml:space="preserve"> 1.0</t>
    </r>
  </si>
  <si>
    <r>
      <t>Completed:</t>
    </r>
    <r>
      <rPr>
        <sz val="11"/>
        <color theme="1"/>
        <rFont val="Calibri"/>
        <family val="2"/>
        <scheme val="minor"/>
      </rPr>
      <t xml:space="preserve"> July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</si>
</sst>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dd\-mmm\-yyyy"/>
    <numFmt numFmtId="165" formatCode="\$#,##0.00"/>
    <numFmt numFmtId="166" formatCode="_-[$$-409]* #,##0.00_ ;_-[$$-409]* \-#,##0.00\ ;_-[$$-409]* &quot;-&quot;??_ ;_-@_ "/>
  </numFmts>
  <fonts count="8">
    <font>
      <sz val="11"/>
      <color theme="1"/>
      <name val="Calibri"/>
      <family val="2"/>
      <scheme val="minor"/>
    </font>
    <font>
      <b/>
      <sz val="11"/>
      <color theme="1"/>
      <name val="Calibri"/>
      <family val="2"/>
      <scheme val="minor"/>
    </font>
    <font>
      <b/>
      <sz val="11"/>
      <name val="Calibri"/>
      <family val="2"/>
    </font>
    <font>
      <sz val="8"/>
      <name val="Calibri"/>
      <family val="2"/>
      <scheme val="minor"/>
    </font>
    <font>
      <sz val="11"/>
      <color theme="1"/>
      <name val="Calibri"/>
      <family val="2"/>
      <scheme val="minor"/>
    </font>
    <font>
      <b/>
      <sz val="20"/>
      <color theme="4" tint="-0.249977111117893"/>
      <name val="Calibri"/>
      <family val="2"/>
      <scheme val="minor"/>
    </font>
    <font>
      <b/>
      <sz val="11"/>
      <color theme="1"/>
      <name val="Large"/>
    </font>
    <font>
      <b/>
      <sz val="28"/>
      <color theme="2" tint="-0.749992370372631"/>
      <name val="Berlin Sans FB Demi"/>
      <family val="2"/>
    </font>
  </fonts>
  <fills count="4">
    <fill>
      <patternFill patternType="none"/>
    </fill>
    <fill>
      <patternFill patternType="gray125"/>
    </fill>
    <fill>
      <patternFill patternType="solid">
        <fgColor theme="0"/>
        <bgColor indexed="64"/>
      </patternFill>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4" fillId="0" borderId="0" applyFont="0" applyFill="0" applyBorder="0" applyAlignment="0" applyProtection="0"/>
  </cellStyleXfs>
  <cellXfs count="2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top"/>
    </xf>
    <xf numFmtId="0" fontId="2" fillId="0" borderId="0" xfId="0" applyFont="1" applyAlignment="1">
      <alignment vertical="top"/>
    </xf>
    <xf numFmtId="164" fontId="0" fillId="0" borderId="0" xfId="0" applyNumberFormat="1" applyAlignment="1">
      <alignment vertical="top"/>
    </xf>
    <xf numFmtId="165" fontId="0" fillId="0" borderId="0" xfId="0" applyNumberFormat="1" applyAlignment="1">
      <alignment vertical="top"/>
    </xf>
    <xf numFmtId="15" fontId="0" fillId="0" borderId="1" xfId="0" applyNumberFormat="1" applyBorder="1"/>
    <xf numFmtId="0" fontId="0" fillId="0" borderId="1" xfId="0" applyBorder="1"/>
    <xf numFmtId="166" fontId="0" fillId="0" borderId="1" xfId="0" applyNumberFormat="1" applyBorder="1"/>
    <xf numFmtId="0" fontId="0" fillId="0" borderId="1" xfId="0" applyBorder="1" applyAlignment="1">
      <alignment vertical="top"/>
    </xf>
    <xf numFmtId="166" fontId="0" fillId="0" borderId="1" xfId="0" applyNumberFormat="1" applyBorder="1" applyAlignment="1">
      <alignment vertical="top"/>
    </xf>
    <xf numFmtId="0" fontId="0" fillId="0" borderId="0" xfId="0" pivotButton="1"/>
    <xf numFmtId="0" fontId="0" fillId="0" borderId="0" xfId="0" applyAlignment="1">
      <alignment horizontal="left"/>
    </xf>
    <xf numFmtId="165" fontId="0" fillId="0" borderId="0" xfId="0" applyNumberFormat="1"/>
    <xf numFmtId="0" fontId="1" fillId="2" borderId="0" xfId="0" applyFont="1" applyFill="1"/>
    <xf numFmtId="0" fontId="5" fillId="2" borderId="0" xfId="0" applyFont="1" applyFill="1"/>
    <xf numFmtId="165" fontId="6" fillId="2" borderId="0" xfId="0" applyNumberFormat="1" applyFont="1" applyFill="1" applyAlignment="1">
      <alignment horizontal="right" vertical="top"/>
    </xf>
    <xf numFmtId="0" fontId="1" fillId="0" borderId="0" xfId="0" applyFont="1"/>
    <xf numFmtId="166" fontId="0" fillId="0" borderId="0" xfId="1" applyNumberFormat="1" applyFont="1"/>
    <xf numFmtId="166" fontId="0" fillId="0" borderId="0" xfId="0" applyNumberFormat="1"/>
    <xf numFmtId="0" fontId="1" fillId="3" borderId="1" xfId="0" applyFont="1" applyFill="1" applyBorder="1" applyAlignment="1">
      <alignment vertical="center"/>
    </xf>
    <xf numFmtId="0" fontId="1" fillId="3" borderId="1" xfId="0" applyFont="1" applyFill="1" applyBorder="1"/>
    <xf numFmtId="0" fontId="1" fillId="3" borderId="1" xfId="0" applyFont="1" applyFill="1" applyBorder="1" applyAlignment="1">
      <alignment horizontal="center" vertical="top"/>
    </xf>
    <xf numFmtId="0" fontId="7" fillId="3" borderId="0" xfId="0" applyFont="1" applyFill="1" applyAlignment="1">
      <alignment horizontal="center"/>
    </xf>
  </cellXfs>
  <cellStyles count="2">
    <cellStyle name="Currency" xfId="1" builtinId="4"/>
    <cellStyle name="Normal" xfId="0" builtinId="0"/>
  </cellStyles>
  <dxfs count="28">
    <dxf>
      <fill>
        <patternFill>
          <bgColor rgb="FFFFC7CE"/>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bgColor theme="7" tint="0.39994506668294322"/>
        </patternFill>
      </fill>
    </dxf>
    <dxf>
      <alignment horizontal="general" vertical="top" textRotation="0" wrapText="0" indent="0" justifyLastLine="0" shrinkToFit="0" readingOrder="0"/>
    </dxf>
    <dxf>
      <alignment horizontal="general" vertical="top" textRotation="0" wrapText="0" indent="0" justifyLastLine="0" shrinkToFit="0" readingOrder="0"/>
    </dxf>
    <dxf>
      <numFmt numFmtId="165" formatCode="\$#,##0.0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alignment horizontal="general" vertical="top" textRotation="0" wrapText="0" indent="0" justifyLastLine="0" shrinkToFit="0" readingOrder="0"/>
    </dxf>
    <dxf>
      <numFmt numFmtId="164" formatCode="dd\-mmm\-yyyy"/>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auto="1"/>
        <name val="Calibri"/>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165" formatCode="\$#,##0.0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164" formatCode="dd\-mmm\-yyyy"/>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auto="1"/>
        <name val="Calibri"/>
        <family val="2"/>
        <scheme val="none"/>
      </font>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Dashboard.xlsx]Pivot Tables!PivotTable1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Income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682037495805398E-2"/>
          <c:y val="0.1799408660510709"/>
          <c:w val="0.89983455234267373"/>
          <c:h val="0.71280030481225598"/>
        </c:manualLayout>
      </c:layout>
      <c:barChart>
        <c:barDir val="col"/>
        <c:grouping val="clustere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Jan</c:v>
                </c:pt>
                <c:pt idx="1">
                  <c:v>Feb</c:v>
                </c:pt>
                <c:pt idx="2">
                  <c:v>Mar</c:v>
                </c:pt>
              </c:strCache>
            </c:strRef>
          </c:cat>
          <c:val>
            <c:numRef>
              <c:f>'Pivot Tables'!$B$4:$B$7</c:f>
              <c:numCache>
                <c:formatCode>\$#,##0.00</c:formatCode>
                <c:ptCount val="3"/>
                <c:pt idx="0">
                  <c:v>238</c:v>
                </c:pt>
                <c:pt idx="1">
                  <c:v>10606</c:v>
                </c:pt>
                <c:pt idx="2">
                  <c:v>4371</c:v>
                </c:pt>
              </c:numCache>
            </c:numRef>
          </c:val>
          <c:extLst>
            <c:ext xmlns:c16="http://schemas.microsoft.com/office/drawing/2014/chart" uri="{C3380CC4-5D6E-409C-BE32-E72D297353CC}">
              <c16:uniqueId val="{00000000-3EC1-4F1F-9CF0-D58220924A06}"/>
            </c:ext>
          </c:extLst>
        </c:ser>
        <c:dLbls>
          <c:dLblPos val="inEnd"/>
          <c:showLegendKey val="0"/>
          <c:showVal val="1"/>
          <c:showCatName val="0"/>
          <c:showSerName val="0"/>
          <c:showPercent val="0"/>
          <c:showBubbleSize val="0"/>
        </c:dLbls>
        <c:gapWidth val="100"/>
        <c:overlap val="-24"/>
        <c:axId val="1480850863"/>
        <c:axId val="1488318671"/>
      </c:barChart>
      <c:catAx>
        <c:axId val="14808508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318671"/>
        <c:crosses val="autoZero"/>
        <c:auto val="1"/>
        <c:lblAlgn val="ctr"/>
        <c:lblOffset val="100"/>
        <c:noMultiLvlLbl val="0"/>
      </c:catAx>
      <c:valAx>
        <c:axId val="14883186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85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Dashboard.xlsx]Pivot Tables!PivotTable3</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Expense</a:t>
            </a:r>
            <a:r>
              <a:rPr lang="en-US" baseline="0"/>
              <a:t> Distribution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32948786087102144"/>
          <c:y val="0.24108241536737282"/>
          <c:w val="0.18877243959509879"/>
          <c:h val="0.68520240278777422"/>
        </c:manualLayout>
      </c:layout>
      <c:pieChart>
        <c:varyColors val="1"/>
        <c:ser>
          <c:idx val="0"/>
          <c:order val="0"/>
          <c:tx>
            <c:strRef>
              <c:f>'Pivot Tables'!$K$3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19B-45B8-A21D-00F31D61F6F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19B-45B8-A21D-00F31D61F6F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19B-45B8-A21D-00F31D61F6F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19B-45B8-A21D-00F31D61F6F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F19B-45B8-A21D-00F31D61F6F7}"/>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F19B-45B8-A21D-00F31D61F6F7}"/>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F19B-45B8-A21D-00F31D61F6F7}"/>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F19B-45B8-A21D-00F31D61F6F7}"/>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F19B-45B8-A21D-00F31D61F6F7}"/>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F19B-45B8-A21D-00F31D61F6F7}"/>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F19B-45B8-A21D-00F31D61F6F7}"/>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F19B-45B8-A21D-00F31D61F6F7}"/>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F19B-45B8-A21D-00F31D61F6F7}"/>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F19B-45B8-A21D-00F31D61F6F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Tables'!$J$4:$J$9</c:f>
              <c:strCache>
                <c:ptCount val="5"/>
                <c:pt idx="0">
                  <c:v>Electricity</c:v>
                </c:pt>
                <c:pt idx="1">
                  <c:v>Fuel</c:v>
                </c:pt>
                <c:pt idx="2">
                  <c:v>Insurance</c:v>
                </c:pt>
                <c:pt idx="3">
                  <c:v>Internet</c:v>
                </c:pt>
                <c:pt idx="4">
                  <c:v>Marketing</c:v>
                </c:pt>
              </c:strCache>
            </c:strRef>
          </c:cat>
          <c:val>
            <c:numRef>
              <c:f>'Pivot Tables'!$K$4:$K$9</c:f>
              <c:numCache>
                <c:formatCode>\$#,##0.00</c:formatCode>
                <c:ptCount val="5"/>
                <c:pt idx="0">
                  <c:v>2777</c:v>
                </c:pt>
                <c:pt idx="1">
                  <c:v>454</c:v>
                </c:pt>
                <c:pt idx="2">
                  <c:v>1894</c:v>
                </c:pt>
                <c:pt idx="3">
                  <c:v>2014</c:v>
                </c:pt>
                <c:pt idx="4">
                  <c:v>5073</c:v>
                </c:pt>
              </c:numCache>
            </c:numRef>
          </c:val>
          <c:extLst>
            <c:ext xmlns:c16="http://schemas.microsoft.com/office/drawing/2014/chart" uri="{C3380CC4-5D6E-409C-BE32-E72D297353CC}">
              <c16:uniqueId val="{0000001C-F19B-45B8-A21D-00F31D61F6F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0035424206618726"/>
          <c:y val="0.22431946692895269"/>
          <c:w val="0.3682599806481025"/>
          <c:h val="0.71202639182917071"/>
        </c:manualLayout>
      </c:layout>
      <c:overlay val="0"/>
      <c:spPr>
        <a:solidFill>
          <a:schemeClr val="lt1">
            <a:alpha val="78000"/>
          </a:schemeClr>
        </a:solidFill>
        <a:ln>
          <a:noFill/>
        </a:ln>
        <a:effectLst/>
      </c:spPr>
      <c:txPr>
        <a:bodyPr rot="0" spcFirstLastPara="1" vertOverflow="ellipsis" vert="horz" wrap="square" anchor="ctr" anchorCtr="1"/>
        <a:lstStyle/>
        <a:p>
          <a:pPr>
            <a:defRPr sz="123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Dashboard.xlsx]Pivot Tables!PivotTable4</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Income By 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2"/>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3271494854345936"/>
          <c:y val="0.24194310766207264"/>
          <c:w val="0.19603998037985937"/>
          <c:h val="0.68234775378568369"/>
        </c:manualLayout>
      </c:layout>
      <c:doughnutChart>
        <c:varyColors val="1"/>
        <c:ser>
          <c:idx val="0"/>
          <c:order val="0"/>
          <c:tx>
            <c:strRef>
              <c:f>'Pivot Tables'!$N$3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CD9-45AA-9237-D726380610A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CD9-45AA-9237-D726380610A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CD9-45AA-9237-D726380610A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CD9-45AA-9237-D726380610AB}"/>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FCD9-45AA-9237-D726380610AB}"/>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FCD9-45AA-9237-D726380610A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Tables'!$M$4:$M$6</c:f>
              <c:strCache>
                <c:ptCount val="2"/>
                <c:pt idx="0">
                  <c:v>Credit Card</c:v>
                </c:pt>
                <c:pt idx="1">
                  <c:v>Debit Card</c:v>
                </c:pt>
              </c:strCache>
            </c:strRef>
          </c:cat>
          <c:val>
            <c:numRef>
              <c:f>'Pivot Tables'!$N$4:$N$6</c:f>
              <c:numCache>
                <c:formatCode>\$#,##0.00</c:formatCode>
                <c:ptCount val="2"/>
                <c:pt idx="0">
                  <c:v>13877</c:v>
                </c:pt>
                <c:pt idx="1">
                  <c:v>1338</c:v>
                </c:pt>
              </c:numCache>
            </c:numRef>
          </c:val>
          <c:extLst>
            <c:ext xmlns:c16="http://schemas.microsoft.com/office/drawing/2014/chart" uri="{C3380CC4-5D6E-409C-BE32-E72D297353CC}">
              <c16:uniqueId val="{0000000C-FCD9-45AA-9237-D726380610A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60237291655015568"/>
          <c:y val="0.20910488848353118"/>
          <c:w val="0.34982182856314109"/>
          <c:h val="0.72680078271416793"/>
        </c:manualLayout>
      </c:layout>
      <c:overlay val="0"/>
      <c:spPr>
        <a:solidFill>
          <a:schemeClr val="lt1">
            <a:alpha val="78000"/>
          </a:schemeClr>
        </a:solidFill>
        <a:ln>
          <a:noFill/>
        </a:ln>
        <a:effectLst/>
      </c:spPr>
      <c:txPr>
        <a:bodyPr rot="0" spcFirstLastPara="1" vertOverflow="ellipsis" vert="horz" wrap="square" anchor="ctr" anchorCtr="1"/>
        <a:lstStyle/>
        <a:p>
          <a:pPr>
            <a:defRPr sz="153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Dashboard.xlsx]Pivot Tables!PivotTable5</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Expense Vendors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35795911774837"/>
          <c:y val="0.14778815077450866"/>
          <c:w val="0.81699491675707303"/>
          <c:h val="0.75451884765897437"/>
        </c:manualLayout>
      </c:layout>
      <c:barChart>
        <c:barDir val="bar"/>
        <c:grouping val="clustered"/>
        <c:varyColors val="0"/>
        <c:ser>
          <c:idx val="0"/>
          <c:order val="0"/>
          <c:tx>
            <c:strRef>
              <c:f>'Pivot Tables'!$H$3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Tables'!$G$4:$G$10</c:f>
              <c:strCache>
                <c:ptCount val="6"/>
                <c:pt idx="0">
                  <c:v>Secure Insurance</c:v>
                </c:pt>
                <c:pt idx="1">
                  <c:v>Repair Hub</c:v>
                </c:pt>
                <c:pt idx="2">
                  <c:v>Warehouse Supplies</c:v>
                </c:pt>
                <c:pt idx="3">
                  <c:v>Tax Office</c:v>
                </c:pt>
                <c:pt idx="4">
                  <c:v>Water Utility</c:v>
                </c:pt>
                <c:pt idx="5">
                  <c:v>XYZ Logistics</c:v>
                </c:pt>
              </c:strCache>
            </c:strRef>
          </c:cat>
          <c:val>
            <c:numRef>
              <c:f>'Pivot Tables'!$H$4:$H$10</c:f>
              <c:numCache>
                <c:formatCode>\$#,##0.00</c:formatCode>
                <c:ptCount val="6"/>
                <c:pt idx="0">
                  <c:v>4032</c:v>
                </c:pt>
                <c:pt idx="1">
                  <c:v>2548</c:v>
                </c:pt>
                <c:pt idx="2">
                  <c:v>2508</c:v>
                </c:pt>
                <c:pt idx="3">
                  <c:v>1398</c:v>
                </c:pt>
                <c:pt idx="4">
                  <c:v>1073</c:v>
                </c:pt>
                <c:pt idx="5">
                  <c:v>653</c:v>
                </c:pt>
              </c:numCache>
            </c:numRef>
          </c:val>
          <c:extLst>
            <c:ext xmlns:c16="http://schemas.microsoft.com/office/drawing/2014/chart" uri="{C3380CC4-5D6E-409C-BE32-E72D297353CC}">
              <c16:uniqueId val="{00000000-DD81-461E-A02F-B762A96167B3}"/>
            </c:ext>
          </c:extLst>
        </c:ser>
        <c:dLbls>
          <c:dLblPos val="outEnd"/>
          <c:showLegendKey val="0"/>
          <c:showVal val="1"/>
          <c:showCatName val="0"/>
          <c:showSerName val="0"/>
          <c:showPercent val="0"/>
          <c:showBubbleSize val="0"/>
        </c:dLbls>
        <c:gapWidth val="115"/>
        <c:overlap val="-20"/>
        <c:axId val="1684546895"/>
        <c:axId val="1488290831"/>
      </c:barChart>
      <c:catAx>
        <c:axId val="16845468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290831"/>
        <c:crosses val="autoZero"/>
        <c:auto val="1"/>
        <c:lblAlgn val="ctr"/>
        <c:lblOffset val="100"/>
        <c:noMultiLvlLbl val="0"/>
      </c:catAx>
      <c:valAx>
        <c:axId val="148829083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54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177799</xdr:rowOff>
    </xdr:from>
    <xdr:to>
      <xdr:col>12</xdr:col>
      <xdr:colOff>417975</xdr:colOff>
      <xdr:row>16</xdr:row>
      <xdr:rowOff>84044</xdr:rowOff>
    </xdr:to>
    <xdr:graphicFrame macro="">
      <xdr:nvGraphicFramePr>
        <xdr:cNvPr id="2" name="Chart 1">
          <a:extLst>
            <a:ext uri="{FF2B5EF4-FFF2-40B4-BE49-F238E27FC236}">
              <a16:creationId xmlns:a16="http://schemas.microsoft.com/office/drawing/2014/main" id="{9B677347-728B-4D79-AC86-844EF196B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514676</xdr:colOff>
      <xdr:row>4</xdr:row>
      <xdr:rowOff>146499</xdr:rowOff>
    </xdr:from>
    <xdr:to>
      <xdr:col>23</xdr:col>
      <xdr:colOff>385164</xdr:colOff>
      <xdr:row>17</xdr:row>
      <xdr:rowOff>166557</xdr:rowOff>
    </xdr:to>
    <xdr:graphicFrame macro="">
      <xdr:nvGraphicFramePr>
        <xdr:cNvPr id="4" name="Chart 3">
          <a:extLst>
            <a:ext uri="{FF2B5EF4-FFF2-40B4-BE49-F238E27FC236}">
              <a16:creationId xmlns:a16="http://schemas.microsoft.com/office/drawing/2014/main" id="{D15C183E-AD54-48DC-AA2E-BA2D79A99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62459</xdr:colOff>
      <xdr:row>17</xdr:row>
      <xdr:rowOff>41640</xdr:rowOff>
    </xdr:from>
    <xdr:to>
      <xdr:col>23</xdr:col>
      <xdr:colOff>166557</xdr:colOff>
      <xdr:row>31</xdr:row>
      <xdr:rowOff>176967</xdr:rowOff>
    </xdr:to>
    <xdr:graphicFrame macro="">
      <xdr:nvGraphicFramePr>
        <xdr:cNvPr id="5" name="Chart 4">
          <a:extLst>
            <a:ext uri="{FF2B5EF4-FFF2-40B4-BE49-F238E27FC236}">
              <a16:creationId xmlns:a16="http://schemas.microsoft.com/office/drawing/2014/main" id="{296A8290-A80C-49FA-8FAC-204FEC7BE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16</xdr:row>
      <xdr:rowOff>65366</xdr:rowOff>
    </xdr:from>
    <xdr:to>
      <xdr:col>12</xdr:col>
      <xdr:colOff>401899</xdr:colOff>
      <xdr:row>32</xdr:row>
      <xdr:rowOff>18676</xdr:rowOff>
    </xdr:to>
    <xdr:graphicFrame macro="">
      <xdr:nvGraphicFramePr>
        <xdr:cNvPr id="6" name="Chart 5">
          <a:extLst>
            <a:ext uri="{FF2B5EF4-FFF2-40B4-BE49-F238E27FC236}">
              <a16:creationId xmlns:a16="http://schemas.microsoft.com/office/drawing/2014/main" id="{8C7440D1-B9C1-4AAA-ADE8-B5929F4FCD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173180</xdr:colOff>
      <xdr:row>1</xdr:row>
      <xdr:rowOff>57727</xdr:rowOff>
    </xdr:from>
    <xdr:to>
      <xdr:col>11</xdr:col>
      <xdr:colOff>183622</xdr:colOff>
      <xdr:row>4</xdr:row>
      <xdr:rowOff>148441</xdr:rowOff>
    </xdr:to>
    <xdr:sp macro="" textlink="Calculations!B2">
      <xdr:nvSpPr>
        <xdr:cNvPr id="9" name="Rectangle: Rounded Corners 8">
          <a:extLst>
            <a:ext uri="{FF2B5EF4-FFF2-40B4-BE49-F238E27FC236}">
              <a16:creationId xmlns:a16="http://schemas.microsoft.com/office/drawing/2014/main" id="{E7ADE812-FACC-4132-8360-FB38ECB0CB07}"/>
            </a:ext>
          </a:extLst>
        </xdr:cNvPr>
        <xdr:cNvSpPr/>
      </xdr:nvSpPr>
      <xdr:spPr>
        <a:xfrm>
          <a:off x="3925453" y="437078"/>
          <a:ext cx="3672000" cy="783441"/>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tx2"/>
              </a:solidFill>
              <a:latin typeface="Calibri"/>
              <a:ea typeface="Calibri"/>
              <a:cs typeface="Calibri"/>
            </a:rPr>
            <a:t>TOTAL</a:t>
          </a:r>
          <a:r>
            <a:rPr lang="en-US" sz="1800" b="1" i="0" u="none" strike="noStrike" baseline="0">
              <a:solidFill>
                <a:schemeClr val="tx2"/>
              </a:solidFill>
              <a:latin typeface="Calibri"/>
              <a:ea typeface="Calibri"/>
              <a:cs typeface="Calibri"/>
            </a:rPr>
            <a:t> EXPENSE</a:t>
          </a:r>
          <a:endParaRPr lang="en-US" sz="1800" b="1" i="0" u="none" strike="noStrike">
            <a:solidFill>
              <a:schemeClr val="tx2"/>
            </a:solidFill>
            <a:latin typeface="Calibri"/>
            <a:ea typeface="Calibri"/>
            <a:cs typeface="Calibri"/>
          </a:endParaRPr>
        </a:p>
        <a:p>
          <a:pPr algn="ctr"/>
          <a:fld id="{F54A54C5-49F5-45BB-BA30-3A34F4E1ED29}" type="TxLink">
            <a:rPr lang="en-US" sz="1800" b="1" i="0" u="none" strike="noStrike">
              <a:solidFill>
                <a:schemeClr val="accent2">
                  <a:lumMod val="75000"/>
                </a:schemeClr>
              </a:solidFill>
              <a:latin typeface="Calibri"/>
              <a:ea typeface="Calibri"/>
              <a:cs typeface="Calibri"/>
            </a:rPr>
            <a:pPr algn="ctr"/>
            <a:t> $1,27,264.00 </a:t>
          </a:fld>
          <a:endParaRPr lang="en-IN" sz="1800" b="1">
            <a:solidFill>
              <a:schemeClr val="accent2">
                <a:lumMod val="75000"/>
              </a:schemeClr>
            </a:solidFill>
          </a:endParaRPr>
        </a:p>
      </xdr:txBody>
    </xdr:sp>
    <xdr:clientData/>
  </xdr:twoCellAnchor>
  <xdr:twoCellAnchor>
    <xdr:from>
      <xdr:col>11</xdr:col>
      <xdr:colOff>305131</xdr:colOff>
      <xdr:row>1</xdr:row>
      <xdr:rowOff>49481</xdr:rowOff>
    </xdr:from>
    <xdr:to>
      <xdr:col>17</xdr:col>
      <xdr:colOff>315572</xdr:colOff>
      <xdr:row>4</xdr:row>
      <xdr:rowOff>140195</xdr:rowOff>
    </xdr:to>
    <xdr:sp macro="" textlink="Calculations!C2">
      <xdr:nvSpPr>
        <xdr:cNvPr id="10" name="Rectangle: Rounded Corners 9">
          <a:extLst>
            <a:ext uri="{FF2B5EF4-FFF2-40B4-BE49-F238E27FC236}">
              <a16:creationId xmlns:a16="http://schemas.microsoft.com/office/drawing/2014/main" id="{C23D188E-0B94-40E4-B723-00F515EAFAE8}"/>
            </a:ext>
          </a:extLst>
        </xdr:cNvPr>
        <xdr:cNvSpPr/>
      </xdr:nvSpPr>
      <xdr:spPr>
        <a:xfrm>
          <a:off x="7718962" y="428832"/>
          <a:ext cx="3672000" cy="783441"/>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tx2"/>
              </a:solidFill>
              <a:latin typeface="Calibri"/>
              <a:ea typeface="Calibri"/>
              <a:cs typeface="Calibri"/>
            </a:rPr>
            <a:t>NET PROFIT</a:t>
          </a:r>
        </a:p>
        <a:p>
          <a:pPr algn="ctr"/>
          <a:fld id="{581AFA93-72FE-4F84-A629-2E2DA1F6ED82}" type="TxLink">
            <a:rPr lang="en-US" sz="1800" b="1" i="0" u="none" strike="noStrike">
              <a:solidFill>
                <a:schemeClr val="accent6">
                  <a:lumMod val="75000"/>
                </a:schemeClr>
              </a:solidFill>
              <a:latin typeface="Calibri"/>
              <a:ea typeface="Calibri"/>
              <a:cs typeface="Calibri"/>
            </a:rPr>
            <a:pPr algn="ctr"/>
            <a:t> $3,297.00 </a:t>
          </a:fld>
          <a:endParaRPr lang="en-IN" sz="1100" b="1">
            <a:solidFill>
              <a:schemeClr val="accent6">
                <a:lumMod val="75000"/>
              </a:schemeClr>
            </a:solidFill>
          </a:endParaRPr>
        </a:p>
      </xdr:txBody>
    </xdr:sp>
    <xdr:clientData/>
  </xdr:twoCellAnchor>
  <xdr:twoCellAnchor>
    <xdr:from>
      <xdr:col>17</xdr:col>
      <xdr:colOff>445324</xdr:colOff>
      <xdr:row>1</xdr:row>
      <xdr:rowOff>49480</xdr:rowOff>
    </xdr:from>
    <xdr:to>
      <xdr:col>23</xdr:col>
      <xdr:colOff>455766</xdr:colOff>
      <xdr:row>4</xdr:row>
      <xdr:rowOff>140194</xdr:rowOff>
    </xdr:to>
    <xdr:sp macro="" textlink="Expenses!L2">
      <xdr:nvSpPr>
        <xdr:cNvPr id="11" name="Rectangle: Rounded Corners 10">
          <a:extLst>
            <a:ext uri="{FF2B5EF4-FFF2-40B4-BE49-F238E27FC236}">
              <a16:creationId xmlns:a16="http://schemas.microsoft.com/office/drawing/2014/main" id="{77C67A5D-502B-4C42-939C-55B014626336}"/>
            </a:ext>
          </a:extLst>
        </xdr:cNvPr>
        <xdr:cNvSpPr/>
      </xdr:nvSpPr>
      <xdr:spPr>
        <a:xfrm>
          <a:off x="11520714" y="428831"/>
          <a:ext cx="3672000" cy="783441"/>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tx2"/>
              </a:solidFill>
              <a:latin typeface="Calibri"/>
              <a:ea typeface="Calibri"/>
              <a:cs typeface="Calibri"/>
            </a:rPr>
            <a:t>HIGHEST EXPENSE</a:t>
          </a:r>
        </a:p>
        <a:p>
          <a:pPr algn="ctr"/>
          <a:fld id="{21D77D54-F506-4F60-9C07-05DCF2845E45}" type="TxLink">
            <a:rPr lang="en-US" sz="1800" b="1" i="0" u="none" strike="noStrike">
              <a:solidFill>
                <a:schemeClr val="accent2">
                  <a:lumMod val="75000"/>
                </a:schemeClr>
              </a:solidFill>
              <a:latin typeface="Calibri"/>
              <a:ea typeface="Calibri"/>
              <a:cs typeface="Calibri"/>
            </a:rPr>
            <a:pPr algn="ctr"/>
            <a:t> $4,999.00 </a:t>
          </a:fld>
          <a:endParaRPr lang="en-IN" sz="1800" b="1">
            <a:solidFill>
              <a:schemeClr val="accent2">
                <a:lumMod val="75000"/>
              </a:schemeClr>
            </a:solidFill>
          </a:endParaRPr>
        </a:p>
      </xdr:txBody>
    </xdr:sp>
    <xdr:clientData/>
  </xdr:twoCellAnchor>
  <xdr:twoCellAnchor editAs="absolute">
    <xdr:from>
      <xdr:col>0</xdr:col>
      <xdr:colOff>156685</xdr:colOff>
      <xdr:row>1</xdr:row>
      <xdr:rowOff>16084</xdr:rowOff>
    </xdr:from>
    <xdr:to>
      <xdr:col>5</xdr:col>
      <xdr:colOff>76412</xdr:colOff>
      <xdr:row>4</xdr:row>
      <xdr:rowOff>106798</xdr:rowOff>
    </xdr:to>
    <xdr:sp macro="" textlink="Calculations!A2">
      <xdr:nvSpPr>
        <xdr:cNvPr id="12" name="Rectangle: Rounded Corners 11">
          <a:extLst>
            <a:ext uri="{FF2B5EF4-FFF2-40B4-BE49-F238E27FC236}">
              <a16:creationId xmlns:a16="http://schemas.microsoft.com/office/drawing/2014/main" id="{582D8BD7-DC20-4EC2-B976-1743FDE499CC}"/>
            </a:ext>
          </a:extLst>
        </xdr:cNvPr>
        <xdr:cNvSpPr/>
      </xdr:nvSpPr>
      <xdr:spPr>
        <a:xfrm>
          <a:off x="156685" y="437074"/>
          <a:ext cx="3672000" cy="783441"/>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tx2"/>
              </a:solidFill>
              <a:latin typeface="Calibri"/>
              <a:ea typeface="Calibri"/>
              <a:cs typeface="Calibri"/>
            </a:rPr>
            <a:t>TOTAL INCOME</a:t>
          </a:r>
        </a:p>
        <a:p>
          <a:pPr algn="ctr"/>
          <a:fld id="{A7FCA76B-7124-42FF-A706-F45D547ADA0E}" type="TxLink">
            <a:rPr lang="en-US" sz="1800" b="1" i="0" u="none" strike="noStrike">
              <a:solidFill>
                <a:schemeClr val="accent6">
                  <a:lumMod val="75000"/>
                </a:schemeClr>
              </a:solidFill>
              <a:latin typeface="Calibri"/>
              <a:ea typeface="Calibri"/>
              <a:cs typeface="Calibri"/>
            </a:rPr>
            <a:pPr algn="ctr"/>
            <a:t>$1,30,561.00</a:t>
          </a:fld>
          <a:endParaRPr lang="en-IN" sz="1900" b="1" i="0" baseline="0">
            <a:solidFill>
              <a:schemeClr val="accent6">
                <a:lumMod val="75000"/>
              </a:schemeClr>
            </a:solidFill>
          </a:endParaRPr>
        </a:p>
      </xdr:txBody>
    </xdr:sp>
    <xdr:clientData/>
  </xdr:twoCellAnchor>
  <xdr:twoCellAnchor editAs="oneCell">
    <xdr:from>
      <xdr:col>23</xdr:col>
      <xdr:colOff>607524</xdr:colOff>
      <xdr:row>1</xdr:row>
      <xdr:rowOff>100574</xdr:rowOff>
    </xdr:from>
    <xdr:to>
      <xdr:col>27</xdr:col>
      <xdr:colOff>1203</xdr:colOff>
      <xdr:row>16</xdr:row>
      <xdr:rowOff>24180</xdr:rowOff>
    </xdr:to>
    <mc:AlternateContent xmlns:mc="http://schemas.openxmlformats.org/markup-compatibility/2006" xmlns:a14="http://schemas.microsoft.com/office/drawing/2010/main">
      <mc:Choice Requires="a14">
        <xdr:graphicFrame macro="">
          <xdr:nvGraphicFramePr>
            <xdr:cNvPr id="13" name="Vendor Name">
              <a:extLst>
                <a:ext uri="{FF2B5EF4-FFF2-40B4-BE49-F238E27FC236}">
                  <a16:creationId xmlns:a16="http://schemas.microsoft.com/office/drawing/2014/main" id="{A743E405-A34C-4EB1-AD52-4889362008B7}"/>
                </a:ext>
              </a:extLst>
            </xdr:cNvPr>
            <xdr:cNvGraphicFramePr/>
          </xdr:nvGraphicFramePr>
          <xdr:xfrm>
            <a:off x="0" y="0"/>
            <a:ext cx="0" cy="0"/>
          </xdr:xfrm>
          <a:graphic>
            <a:graphicData uri="http://schemas.microsoft.com/office/drawing/2010/slicer">
              <sle:slicer xmlns:sle="http://schemas.microsoft.com/office/drawing/2010/slicer" name="Vendor Name"/>
            </a:graphicData>
          </a:graphic>
        </xdr:graphicFrame>
      </mc:Choice>
      <mc:Fallback xmlns="">
        <xdr:sp macro="" textlink="">
          <xdr:nvSpPr>
            <xdr:cNvPr id="0" name=""/>
            <xdr:cNvSpPr>
              <a:spLocks noTextEdit="1"/>
            </xdr:cNvSpPr>
          </xdr:nvSpPr>
          <xdr:spPr>
            <a:xfrm>
              <a:off x="15420721" y="527377"/>
              <a:ext cx="1850400" cy="28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20820</xdr:colOff>
      <xdr:row>1</xdr:row>
      <xdr:rowOff>104096</xdr:rowOff>
    </xdr:from>
    <xdr:to>
      <xdr:col>30</xdr:col>
      <xdr:colOff>28679</xdr:colOff>
      <xdr:row>16</xdr:row>
      <xdr:rowOff>27702</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217D8D3C-6BCA-4B13-8356-7389FA10128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290738" y="530899"/>
              <a:ext cx="1850400" cy="28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16</xdr:row>
      <xdr:rowOff>176967</xdr:rowOff>
    </xdr:from>
    <xdr:to>
      <xdr:col>27</xdr:col>
      <xdr:colOff>7859</xdr:colOff>
      <xdr:row>32</xdr:row>
      <xdr:rowOff>58934</xdr:rowOff>
    </xdr:to>
    <mc:AlternateContent xmlns:mc="http://schemas.openxmlformats.org/markup-compatibility/2006" xmlns:a14="http://schemas.microsoft.com/office/drawing/2010/main">
      <mc:Choice Requires="a14">
        <xdr:graphicFrame macro="">
          <xdr:nvGraphicFramePr>
            <xdr:cNvPr id="15" name="Months (Date)">
              <a:extLst>
                <a:ext uri="{FF2B5EF4-FFF2-40B4-BE49-F238E27FC236}">
                  <a16:creationId xmlns:a16="http://schemas.microsoft.com/office/drawing/2014/main" id="{690279F7-9859-41CF-AB95-619CF4564016}"/>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5427377" y="3560164"/>
              <a:ext cx="1850400" cy="28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10411</xdr:colOff>
      <xdr:row>16</xdr:row>
      <xdr:rowOff>176967</xdr:rowOff>
    </xdr:from>
    <xdr:to>
      <xdr:col>30</xdr:col>
      <xdr:colOff>18270</xdr:colOff>
      <xdr:row>27</xdr:row>
      <xdr:rowOff>124919</xdr:rowOff>
    </xdr:to>
    <mc:AlternateContent xmlns:mc="http://schemas.openxmlformats.org/markup-compatibility/2006" xmlns:a14="http://schemas.microsoft.com/office/drawing/2010/main">
      <mc:Choice Requires="a14">
        <xdr:graphicFrame macro="">
          <xdr:nvGraphicFramePr>
            <xdr:cNvPr id="16" name="Payment Method">
              <a:extLst>
                <a:ext uri="{FF2B5EF4-FFF2-40B4-BE49-F238E27FC236}">
                  <a16:creationId xmlns:a16="http://schemas.microsoft.com/office/drawing/2014/main" id="{B92FD89D-37D4-4914-AE23-FDAC88B49AA4}"/>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7280329" y="3560164"/>
              <a:ext cx="1850400" cy="2009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31.992904976854" createdVersion="8" refreshedVersion="8" minRefreshableVersion="3" recordCount="120" xr:uid="{682B6A7F-0DB3-4431-826B-5F1A420B937C}">
  <cacheSource type="worksheet">
    <worksheetSource name="Table1"/>
  </cacheSource>
  <cacheFields count="11">
    <cacheField name="Invoice No" numFmtId="0">
      <sharedItems/>
    </cacheField>
    <cacheField name="Date" numFmtId="164">
      <sharedItems containsSemiMixedTypes="0" containsNonDate="0" containsDate="1" containsString="0" minDate="2026-01-01T00:00:00" maxDate="2026-12-25T00:00:00" count="120">
        <d v="2026-01-01T00:00:00"/>
        <d v="2026-01-04T00:00:00"/>
        <d v="2026-01-07T00:00:00"/>
        <d v="2026-01-10T00:00:00"/>
        <d v="2026-01-13T00:00:00"/>
        <d v="2026-01-16T00:00:00"/>
        <d v="2026-01-19T00:00:00"/>
        <d v="2026-01-22T00:00:00"/>
        <d v="2026-01-25T00:00:00"/>
        <d v="2026-01-28T00:00:00"/>
        <d v="2026-01-31T00:00:00"/>
        <d v="2026-02-03T00:00:00"/>
        <d v="2026-02-06T00:00:00"/>
        <d v="2026-02-09T00:00:00"/>
        <d v="2026-02-12T00:00:00"/>
        <d v="2026-02-15T00:00:00"/>
        <d v="2026-02-18T00:00:00"/>
        <d v="2026-02-21T00:00:00"/>
        <d v="2026-02-24T00:00:00"/>
        <d v="2026-02-27T00:00:00"/>
        <d v="2026-03-02T00:00:00"/>
        <d v="2026-03-05T00:00:00"/>
        <d v="2026-03-08T00:00:00"/>
        <d v="2026-03-11T00:00:00"/>
        <d v="2026-03-14T00:00:00"/>
        <d v="2026-03-17T00:00:00"/>
        <d v="2026-03-20T00:00:00"/>
        <d v="2026-03-23T00:00:00"/>
        <d v="2026-03-26T00:00:00"/>
        <d v="2026-03-29T00:00:00"/>
        <d v="2026-04-01T00:00:00"/>
        <d v="2026-04-04T00:00:00"/>
        <d v="2026-04-07T00:00:00"/>
        <d v="2026-04-10T00:00:00"/>
        <d v="2026-04-13T00:00:00"/>
        <d v="2026-04-16T00:00:00"/>
        <d v="2026-04-19T00:00:00"/>
        <d v="2026-04-22T00:00:00"/>
        <d v="2026-04-25T00:00:00"/>
        <d v="2026-04-28T00:00:00"/>
        <d v="2026-05-01T00:00:00"/>
        <d v="2026-05-04T00:00:00"/>
        <d v="2026-05-07T00:00:00"/>
        <d v="2026-05-10T00:00:00"/>
        <d v="2026-05-13T00:00:00"/>
        <d v="2026-05-16T00:00:00"/>
        <d v="2026-05-19T00:00:00"/>
        <d v="2026-05-22T00:00:00"/>
        <d v="2026-05-25T00:00:00"/>
        <d v="2026-05-28T00:00:00"/>
        <d v="2026-05-31T00:00:00"/>
        <d v="2026-06-03T00:00:00"/>
        <d v="2026-06-06T00:00:00"/>
        <d v="2026-06-09T00:00:00"/>
        <d v="2026-06-12T00:00:00"/>
        <d v="2026-06-15T00:00:00"/>
        <d v="2026-06-18T00:00:00"/>
        <d v="2026-06-21T00:00:00"/>
        <d v="2026-06-24T00:00:00"/>
        <d v="2026-06-27T00:00:00"/>
        <d v="2026-06-30T00:00:00"/>
        <d v="2026-07-03T00:00:00"/>
        <d v="2026-07-06T00:00:00"/>
        <d v="2026-07-09T00:00:00"/>
        <d v="2026-07-12T00:00:00"/>
        <d v="2026-07-15T00:00:00"/>
        <d v="2026-07-18T00:00:00"/>
        <d v="2026-07-21T00:00:00"/>
        <d v="2026-07-24T00:00:00"/>
        <d v="2026-07-27T00:00:00"/>
        <d v="2026-07-30T00:00:00"/>
        <d v="2026-08-02T00:00:00"/>
        <d v="2026-08-05T00:00:00"/>
        <d v="2026-08-08T00:00:00"/>
        <d v="2026-08-11T00:00:00"/>
        <d v="2026-08-14T00:00:00"/>
        <d v="2026-08-17T00:00:00"/>
        <d v="2026-08-20T00:00:00"/>
        <d v="2026-08-23T00:00:00"/>
        <d v="2026-08-26T00:00:00"/>
        <d v="2026-08-29T00:00:00"/>
        <d v="2026-09-01T00:00:00"/>
        <d v="2026-09-04T00:00:00"/>
        <d v="2026-09-07T00:00:00"/>
        <d v="2026-09-10T00:00:00"/>
        <d v="2026-09-13T00:00:00"/>
        <d v="2026-09-16T00:00:00"/>
        <d v="2026-09-19T00:00:00"/>
        <d v="2026-09-22T00:00:00"/>
        <d v="2026-09-25T00:00:00"/>
        <d v="2026-09-28T00:00:00"/>
        <d v="2026-10-01T00:00:00"/>
        <d v="2026-10-04T00:00:00"/>
        <d v="2026-10-07T00:00:00"/>
        <d v="2026-10-10T00:00:00"/>
        <d v="2026-10-13T00:00:00"/>
        <d v="2026-10-16T00:00:00"/>
        <d v="2026-10-19T00:00:00"/>
        <d v="2026-10-22T00:00:00"/>
        <d v="2026-10-25T00:00:00"/>
        <d v="2026-10-28T00:00:00"/>
        <d v="2026-10-31T00:00:00"/>
        <d v="2026-11-03T00:00:00"/>
        <d v="2026-11-06T00:00:00"/>
        <d v="2026-11-09T00:00:00"/>
        <d v="2026-11-12T00:00:00"/>
        <d v="2026-11-15T00:00:00"/>
        <d v="2026-11-18T00:00:00"/>
        <d v="2026-11-21T00:00:00"/>
        <d v="2026-11-24T00:00:00"/>
        <d v="2026-11-27T00:00:00"/>
        <d v="2026-11-30T00:00:00"/>
        <d v="2026-12-03T00:00:00"/>
        <d v="2026-12-06T00:00:00"/>
        <d v="2026-12-09T00:00:00"/>
        <d v="2026-12-12T00:00:00"/>
        <d v="2026-12-15T00:00:00"/>
        <d v="2026-12-18T00:00:00"/>
        <d v="2026-12-21T00:00:00"/>
        <d v="2026-12-24T00:00:00"/>
      </sharedItems>
      <fieldGroup par="10"/>
    </cacheField>
    <cacheField name="Customer" numFmtId="0">
      <sharedItems/>
    </cacheField>
    <cacheField name="Income Category" numFmtId="0">
      <sharedItems/>
    </cacheField>
    <cacheField name="Description" numFmtId="0">
      <sharedItems/>
    </cacheField>
    <cacheField name="Payment Method" numFmtId="0">
      <sharedItems count="6">
        <s v="Cash"/>
        <s v="Bank Transfer"/>
        <s v="Debit Card"/>
        <s v="Cheque"/>
        <s v="UPI"/>
        <s v="Credit Card"/>
      </sharedItems>
    </cacheField>
    <cacheField name="Amount" numFmtId="165">
      <sharedItems containsSemiMixedTypes="0" containsString="0" containsNumber="1" containsInteger="1" minValue="80" maxValue="6164"/>
    </cacheField>
    <cacheField name="Received By" numFmtId="0">
      <sharedItems/>
    </cacheField>
    <cacheField name="Remarks" numFmtId="0">
      <sharedItems/>
    </cacheField>
    <cacheField name="Days (Date)" numFmtId="0" databaseField="0">
      <fieldGroup base="1">
        <rangePr groupBy="days" startDate="2026-01-01T00:00:00" endDate="2026-12-25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5/2026"/>
        </groupItems>
      </fieldGroup>
    </cacheField>
    <cacheField name="Months (Date)" numFmtId="0" databaseField="0">
      <fieldGroup base="1">
        <rangePr groupBy="months" startDate="2026-01-01T00:00:00" endDate="2026-12-25T00:00:00"/>
        <groupItems count="14">
          <s v="&lt;1/1/2026"/>
          <s v="Jan"/>
          <s v="Feb"/>
          <s v="Mar"/>
          <s v="Apr"/>
          <s v="May"/>
          <s v="Jun"/>
          <s v="Jul"/>
          <s v="Aug"/>
          <s v="Sep"/>
          <s v="Oct"/>
          <s v="Nov"/>
          <s v="Dec"/>
          <s v="&gt;12/25/2026"/>
        </groupItems>
      </fieldGroup>
    </cacheField>
  </cacheFields>
  <extLst>
    <ext xmlns:x14="http://schemas.microsoft.com/office/spreadsheetml/2009/9/main" uri="{725AE2AE-9491-48be-B2B4-4EB974FC3084}">
      <x14:pivotCacheDefinition pivotCacheId="991222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31.992904976854" createdVersion="8" refreshedVersion="8" minRefreshableVersion="3" recordCount="120" xr:uid="{615F33FE-536A-46B9-9908-15CF59F17ECF}">
  <cacheSource type="worksheet">
    <worksheetSource name="Table2"/>
  </cacheSource>
  <cacheFields count="12">
    <cacheField name="Expense ID" numFmtId="0">
      <sharedItems count="120">
        <s v="EXP001"/>
        <s v="EXP002"/>
        <s v="EXP003"/>
        <s v="EXP004"/>
        <s v="EXP005"/>
        <s v="EXP006"/>
        <s v="EXP007"/>
        <s v="EXP008"/>
        <s v="EXP009"/>
        <s v="EXP010"/>
        <s v="EXP011"/>
        <s v="EXP012"/>
        <s v="EXP013"/>
        <s v="EXP014"/>
        <s v="EXP015"/>
        <s v="EXP016"/>
        <s v="EXP017"/>
        <s v="EXP018"/>
        <s v="EXP019"/>
        <s v="EXP020"/>
        <s v="EXP021"/>
        <s v="EXP022"/>
        <s v="EXP023"/>
        <s v="EXP024"/>
        <s v="EXP025"/>
        <s v="EXP026"/>
        <s v="EXP027"/>
        <s v="EXP028"/>
        <s v="EXP029"/>
        <s v="EXP030"/>
        <s v="EXP031"/>
        <s v="EXP032"/>
        <s v="EXP033"/>
        <s v="EXP034"/>
        <s v="EXP035"/>
        <s v="EXP036"/>
        <s v="EXP037"/>
        <s v="EXP038"/>
        <s v="EXP039"/>
        <s v="EXP040"/>
        <s v="EXP041"/>
        <s v="EXP042"/>
        <s v="EXP043"/>
        <s v="EXP044"/>
        <s v="EXP045"/>
        <s v="EXP046"/>
        <s v="EXP047"/>
        <s v="EXP048"/>
        <s v="EXP049"/>
        <s v="EXP050"/>
        <s v="EXP051"/>
        <s v="EXP052"/>
        <s v="EXP053"/>
        <s v="EXP054"/>
        <s v="EXP055"/>
        <s v="EXP056"/>
        <s v="EXP057"/>
        <s v="EXP058"/>
        <s v="EXP059"/>
        <s v="EXP060"/>
        <s v="EXP061"/>
        <s v="EXP062"/>
        <s v="EXP063"/>
        <s v="EXP064"/>
        <s v="EXP065"/>
        <s v="EXP066"/>
        <s v="EXP067"/>
        <s v="EXP068"/>
        <s v="EXP069"/>
        <s v="EXP070"/>
        <s v="EXP071"/>
        <s v="EXP072"/>
        <s v="EXP073"/>
        <s v="EXP074"/>
        <s v="EXP075"/>
        <s v="EXP076"/>
        <s v="EXP077"/>
        <s v="EXP078"/>
        <s v="EXP079"/>
        <s v="EXP080"/>
        <s v="EXP081"/>
        <s v="EXP082"/>
        <s v="EXP083"/>
        <s v="EXP084"/>
        <s v="EXP085"/>
        <s v="EXP086"/>
        <s v="EXP087"/>
        <s v="EXP088"/>
        <s v="EXP089"/>
        <s v="EXP090"/>
        <s v="EXP091"/>
        <s v="EXP092"/>
        <s v="EXP093"/>
        <s v="EXP094"/>
        <s v="EXP095"/>
        <s v="EXP096"/>
        <s v="EXP097"/>
        <s v="EXP098"/>
        <s v="EXP099"/>
        <s v="EXP100"/>
        <s v="EXP101"/>
        <s v="EXP102"/>
        <s v="EXP103"/>
        <s v="EXP104"/>
        <s v="EXP105"/>
        <s v="EXP106"/>
        <s v="EXP107"/>
        <s v="EXP108"/>
        <s v="EXP109"/>
        <s v="EXP110"/>
        <s v="EXP111"/>
        <s v="EXP112"/>
        <s v="EXP113"/>
        <s v="EXP114"/>
        <s v="EXP115"/>
        <s v="EXP116"/>
        <s v="EXP117"/>
        <s v="EXP118"/>
        <s v="EXP119"/>
        <s v="EXP120"/>
      </sharedItems>
    </cacheField>
    <cacheField name="Date" numFmtId="164">
      <sharedItems containsSemiMixedTypes="0" containsNonDate="0" containsDate="1" containsString="0" minDate="2026-01-02T00:00:00" maxDate="2026-12-26T00:00:00" count="120">
        <d v="2026-01-02T00:00:00"/>
        <d v="2026-01-05T00:00:00"/>
        <d v="2026-01-08T00:00:00"/>
        <d v="2026-01-11T00:00:00"/>
        <d v="2026-01-14T00:00:00"/>
        <d v="2026-01-17T00:00:00"/>
        <d v="2026-01-20T00:00:00"/>
        <d v="2026-01-23T00:00:00"/>
        <d v="2026-01-26T00:00:00"/>
        <d v="2026-01-29T00:00:00"/>
        <d v="2026-02-01T00:00:00"/>
        <d v="2026-02-04T00:00:00"/>
        <d v="2026-02-07T00:00:00"/>
        <d v="2026-02-10T00:00:00"/>
        <d v="2026-02-13T00:00:00"/>
        <d v="2026-02-16T00:00:00"/>
        <d v="2026-02-19T00:00:00"/>
        <d v="2026-02-22T00:00:00"/>
        <d v="2026-02-25T00:00:00"/>
        <d v="2026-02-28T00:00:00"/>
        <d v="2026-03-03T00:00:00"/>
        <d v="2026-03-06T00:00:00"/>
        <d v="2026-03-09T00:00:00"/>
        <d v="2026-03-12T00:00:00"/>
        <d v="2026-03-15T00:00:00"/>
        <d v="2026-03-18T00:00:00"/>
        <d v="2026-03-21T00:00:00"/>
        <d v="2026-03-24T00:00:00"/>
        <d v="2026-03-27T00:00:00"/>
        <d v="2026-03-30T00:00:00"/>
        <d v="2026-04-02T00:00:00"/>
        <d v="2026-04-05T00:00:00"/>
        <d v="2026-04-08T00:00:00"/>
        <d v="2026-04-11T00:00:00"/>
        <d v="2026-04-14T00:00:00"/>
        <d v="2026-04-17T00:00:00"/>
        <d v="2026-04-20T00:00:00"/>
        <d v="2026-04-23T00:00:00"/>
        <d v="2026-04-26T00:00:00"/>
        <d v="2026-04-29T00:00:00"/>
        <d v="2026-05-02T00:00:00"/>
        <d v="2026-05-05T00:00:00"/>
        <d v="2026-05-08T00:00:00"/>
        <d v="2026-05-11T00:00:00"/>
        <d v="2026-05-14T00:00:00"/>
        <d v="2026-05-17T00:00:00"/>
        <d v="2026-05-20T00:00:00"/>
        <d v="2026-05-23T00:00:00"/>
        <d v="2026-05-26T00:00:00"/>
        <d v="2026-05-29T00:00:00"/>
        <d v="2026-06-01T00:00:00"/>
        <d v="2026-06-04T00:00:00"/>
        <d v="2026-06-07T00:00:00"/>
        <d v="2026-06-10T00:00:00"/>
        <d v="2026-06-13T00:00:00"/>
        <d v="2026-06-16T00:00:00"/>
        <d v="2026-06-19T00:00:00"/>
        <d v="2026-06-22T00:00:00"/>
        <d v="2026-06-25T00:00:00"/>
        <d v="2026-06-28T00:00:00"/>
        <d v="2026-07-01T00:00:00"/>
        <d v="2026-07-04T00:00:00"/>
        <d v="2026-07-07T00:00:00"/>
        <d v="2026-07-10T00:00:00"/>
        <d v="2026-07-13T00:00:00"/>
        <d v="2026-07-16T00:00:00"/>
        <d v="2026-07-19T00:00:00"/>
        <d v="2026-07-22T00:00:00"/>
        <d v="2026-07-25T00:00:00"/>
        <d v="2026-07-28T00:00:00"/>
        <d v="2026-07-31T00:00:00"/>
        <d v="2026-08-03T00:00:00"/>
        <d v="2026-08-06T00:00:00"/>
        <d v="2026-08-09T00:00:00"/>
        <d v="2026-08-12T00:00:00"/>
        <d v="2026-08-15T00:00:00"/>
        <d v="2026-08-18T00:00:00"/>
        <d v="2026-08-21T00:00:00"/>
        <d v="2026-08-24T00:00:00"/>
        <d v="2026-08-27T00:00:00"/>
        <d v="2026-08-30T00:00:00"/>
        <d v="2026-09-02T00:00:00"/>
        <d v="2026-09-05T00:00:00"/>
        <d v="2026-09-08T00:00:00"/>
        <d v="2026-09-11T00:00:00"/>
        <d v="2026-09-14T00:00:00"/>
        <d v="2026-09-17T00:00:00"/>
        <d v="2026-09-20T00:00:00"/>
        <d v="2026-09-23T00:00:00"/>
        <d v="2026-09-26T00:00:00"/>
        <d v="2026-09-29T00:00:00"/>
        <d v="2026-10-02T00:00:00"/>
        <d v="2026-10-05T00:00:00"/>
        <d v="2026-10-08T00:00:00"/>
        <d v="2026-10-11T00:00:00"/>
        <d v="2026-10-14T00:00:00"/>
        <d v="2026-10-17T00:00:00"/>
        <d v="2026-10-20T00:00:00"/>
        <d v="2026-10-23T00:00:00"/>
        <d v="2026-10-26T00:00:00"/>
        <d v="2026-10-29T00:00:00"/>
        <d v="2026-11-01T00:00:00"/>
        <d v="2026-11-04T00:00:00"/>
        <d v="2026-11-07T00:00:00"/>
        <d v="2026-11-10T00:00:00"/>
        <d v="2026-11-13T00:00:00"/>
        <d v="2026-11-16T00:00:00"/>
        <d v="2026-11-19T00:00:00"/>
        <d v="2026-11-22T00:00:00"/>
        <d v="2026-11-25T00:00:00"/>
        <d v="2026-11-28T00:00:00"/>
        <d v="2026-12-01T00:00:00"/>
        <d v="2026-12-04T00:00:00"/>
        <d v="2026-12-07T00:00:00"/>
        <d v="2026-12-10T00:00:00"/>
        <d v="2026-12-13T00:00:00"/>
        <d v="2026-12-16T00:00:00"/>
        <d v="2026-12-19T00:00:00"/>
        <d v="2026-12-22T00:00:00"/>
        <d v="2026-12-25T00:00:00"/>
      </sharedItems>
      <fieldGroup par="11"/>
    </cacheField>
    <cacheField name="Vendor Name" numFmtId="0">
      <sharedItems count="20">
        <s v="City Electric"/>
        <s v="Courier Express"/>
        <s v="Prime Software"/>
        <s v="Repair Hub"/>
        <s v="Office Depot"/>
        <s v="Power Company"/>
        <s v="XYZ Logistics"/>
        <s v="Secure Insurance"/>
        <s v="Warehouse Supplies"/>
        <s v="CleanPro Services"/>
        <s v="Water Utility"/>
        <s v="Internet Provider"/>
        <s v="Quick Transport"/>
        <s v="Fuel Station"/>
        <s v="Print Solutions"/>
        <s v="Marketing Agency"/>
        <s v="Stationery World"/>
        <s v="Tax Office"/>
        <s v="ABC Packaging"/>
        <s v="Furniture House"/>
      </sharedItems>
    </cacheField>
    <cacheField name="Vendor ID" numFmtId="0">
      <sharedItems/>
    </cacheField>
    <cacheField name="Category" numFmtId="0">
      <sharedItems count="14">
        <s v="Software"/>
        <s v="Fuel"/>
        <s v="Miscellaneous"/>
        <s v="Salary"/>
        <s v="Packaging"/>
        <s v="Internet"/>
        <s v="Marketing"/>
        <s v="Insurance"/>
        <s v="Office Supplies"/>
        <s v="Tax"/>
        <s v="Rent"/>
        <s v="Repair"/>
        <s v="Electricity"/>
        <s v="Transportation"/>
      </sharedItems>
    </cacheField>
    <cacheField name="Description" numFmtId="0">
      <sharedItems/>
    </cacheField>
    <cacheField name="Payment Method" numFmtId="0">
      <sharedItems count="6">
        <s v="Credit Card"/>
        <s v="Debit Card"/>
        <s v="Bank Transfer"/>
        <s v="Cash"/>
        <s v="Cheque"/>
        <s v="UPI"/>
      </sharedItems>
    </cacheField>
    <cacheField name="Amount" numFmtId="165">
      <sharedItems containsSemiMixedTypes="0" containsString="0" containsNumber="1" containsInteger="1" minValue="54" maxValue="4999"/>
    </cacheField>
    <cacheField name="Status" numFmtId="0">
      <sharedItems count="2">
        <s v="Pending"/>
        <s v="Paid"/>
      </sharedItems>
    </cacheField>
    <cacheField name="Approved By" numFmtId="0">
      <sharedItems/>
    </cacheField>
    <cacheField name="Days (Date)" numFmtId="0" databaseField="0">
      <fieldGroup base="1">
        <rangePr groupBy="days" startDate="2026-01-02T00:00:00" endDate="2026-12-26T00:00:00"/>
        <groupItems count="368">
          <s v="&lt;1/2/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6/2026"/>
        </groupItems>
      </fieldGroup>
    </cacheField>
    <cacheField name="Months (Date)" numFmtId="0" databaseField="0">
      <fieldGroup base="1">
        <rangePr groupBy="months" startDate="2026-01-02T00:00:00" endDate="2026-12-26T00:00:00"/>
        <groupItems count="14">
          <s v="&lt;1/2/2026"/>
          <s v="Jan"/>
          <s v="Feb"/>
          <s v="Mar"/>
          <s v="Apr"/>
          <s v="May"/>
          <s v="Jun"/>
          <s v="Jul"/>
          <s v="Aug"/>
          <s v="Sep"/>
          <s v="Oct"/>
          <s v="Nov"/>
          <s v="Dec"/>
          <s v="&gt;12/26/2026"/>
        </groupItems>
      </fieldGroup>
    </cacheField>
  </cacheFields>
  <extLst>
    <ext xmlns:x14="http://schemas.microsoft.com/office/spreadsheetml/2009/9/main" uri="{725AE2AE-9491-48be-B2B4-4EB974FC3084}">
      <x14:pivotCacheDefinition pivotCacheId="1534236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INV001"/>
    <x v="0"/>
    <s v="Modern Homes"/>
    <s v="Service Income"/>
    <s v="Consultation"/>
    <x v="0"/>
    <n v="1017"/>
    <s v="Rohit"/>
    <s v="Completed"/>
  </r>
  <r>
    <s v="INV002"/>
    <x v="1"/>
    <s v="Royal Designers"/>
    <s v="Service Income"/>
    <s v="Delivery Charges"/>
    <x v="1"/>
    <n v="1195"/>
    <s v="Jatin"/>
    <s v="Cleared"/>
  </r>
  <r>
    <s v="INV003"/>
    <x v="2"/>
    <s v="Sunrise Traders"/>
    <s v="Interest"/>
    <s v="Bank Interest"/>
    <x v="0"/>
    <n v="86"/>
    <s v="Priya"/>
    <s v="Completed"/>
  </r>
  <r>
    <s v="INV004"/>
    <x v="3"/>
    <s v="Elegant Living"/>
    <s v="Interest"/>
    <s v="Bank Interest"/>
    <x v="2"/>
    <n v="238"/>
    <s v="Rohit"/>
    <s v="Verified"/>
  </r>
  <r>
    <s v="INV005"/>
    <x v="4"/>
    <s v="Galaxy Furniture"/>
    <s v="Sales"/>
    <s v="MDF Boards"/>
    <x v="1"/>
    <n v="2955"/>
    <s v="Jatin"/>
    <s v="Cleared"/>
  </r>
  <r>
    <s v="INV006"/>
    <x v="5"/>
    <s v="Build Masters"/>
    <s v="Commission"/>
    <s v="Sales Incentive"/>
    <x v="3"/>
    <n v="709"/>
    <s v="System"/>
    <s v="Received"/>
  </r>
  <r>
    <s v="INV007"/>
    <x v="6"/>
    <s v="Royal Furnishers"/>
    <s v="Commission"/>
    <s v="Referral Commission"/>
    <x v="0"/>
    <n v="777"/>
    <s v="System"/>
    <s v="Paid"/>
  </r>
  <r>
    <s v="INV008"/>
    <x v="7"/>
    <s v="Sunrise Traders"/>
    <s v="Commission"/>
    <s v="Referral Commission"/>
    <x v="0"/>
    <n v="570"/>
    <s v="Rohit"/>
    <s v="Received"/>
  </r>
  <r>
    <s v="INV009"/>
    <x v="8"/>
    <s v="Dream House"/>
    <s v="Sales"/>
    <s v="Decorative Panels"/>
    <x v="4"/>
    <n v="3995"/>
    <s v="Jatin"/>
    <s v="Paid"/>
  </r>
  <r>
    <s v="INV010"/>
    <x v="9"/>
    <s v="City Decor"/>
    <s v="Sales"/>
    <s v="Laminates"/>
    <x v="1"/>
    <n v="4583"/>
    <s v="Rohit"/>
    <s v="Received"/>
  </r>
  <r>
    <s v="INV011"/>
    <x v="10"/>
    <s v="Dream House"/>
    <s v="Commission"/>
    <s v="Dealer Commission"/>
    <x v="4"/>
    <n v="445"/>
    <s v="Amit"/>
    <s v="Cleared"/>
  </r>
  <r>
    <s v="INV012"/>
    <x v="11"/>
    <s v="Galaxy Furniture"/>
    <s v="Sales"/>
    <s v="MDF Boards"/>
    <x v="5"/>
    <n v="5004"/>
    <s v="System"/>
    <s v="Verified"/>
  </r>
  <r>
    <s v="INV013"/>
    <x v="12"/>
    <s v="Bright Living"/>
    <s v="Other Income"/>
    <s v="Misc Income"/>
    <x v="0"/>
    <n v="602"/>
    <s v="Jatin"/>
    <s v="Pending"/>
  </r>
  <r>
    <s v="INV014"/>
    <x v="13"/>
    <s v="Sunrise Traders"/>
    <s v="Service Income"/>
    <s v="Installation Service"/>
    <x v="0"/>
    <n v="1166"/>
    <s v="Jatin"/>
    <s v="Received"/>
  </r>
  <r>
    <s v="INV015"/>
    <x v="14"/>
    <s v="Metro Homes"/>
    <s v="Sales"/>
    <s v="Plywood Supply"/>
    <x v="3"/>
    <n v="2885"/>
    <s v="System"/>
    <s v="Completed"/>
  </r>
  <r>
    <s v="INV016"/>
    <x v="15"/>
    <s v="Build Craft"/>
    <s v="Other Income"/>
    <s v="Scrap Sale"/>
    <x v="2"/>
    <n v="365"/>
    <s v="Rohit"/>
    <s v="Received"/>
  </r>
  <r>
    <s v="INV017"/>
    <x v="16"/>
    <s v="Nimbus Projects"/>
    <s v="Sales"/>
    <s v="Plywood Supply"/>
    <x v="5"/>
    <n v="4502"/>
    <s v="Priya"/>
    <s v="Paid"/>
  </r>
  <r>
    <s v="INV018"/>
    <x v="17"/>
    <s v="Alpha Interiors"/>
    <s v="Service Income"/>
    <s v="Site Visit"/>
    <x v="2"/>
    <n v="655"/>
    <s v="System"/>
    <s v="Cleared"/>
  </r>
  <r>
    <s v="INV019"/>
    <x v="18"/>
    <s v="Build Craft"/>
    <s v="Service Income"/>
    <s v="Installation Service"/>
    <x v="3"/>
    <n v="447"/>
    <s v="Priya"/>
    <s v="Verified"/>
  </r>
  <r>
    <s v="INV020"/>
    <x v="19"/>
    <s v="Build Craft"/>
    <s v="Interest"/>
    <s v="Bank Interest"/>
    <x v="2"/>
    <n v="80"/>
    <s v="Priya"/>
    <s v="Paid"/>
  </r>
  <r>
    <s v="INV021"/>
    <x v="20"/>
    <s v="Blue Star"/>
    <s v="Sales"/>
    <s v="Plywood Supply"/>
    <x v="5"/>
    <n v="4371"/>
    <s v="Jatin"/>
    <s v="Cleared"/>
  </r>
  <r>
    <s v="INV022"/>
    <x v="21"/>
    <s v="Bright Living"/>
    <s v="Commission"/>
    <s v="Sales Incentive"/>
    <x v="3"/>
    <n v="512"/>
    <s v="Amit"/>
    <s v="Completed"/>
  </r>
  <r>
    <s v="INV023"/>
    <x v="22"/>
    <s v="Interior Studio"/>
    <s v="Other Income"/>
    <s v="Misc Income"/>
    <x v="3"/>
    <n v="345"/>
    <s v="Jatin"/>
    <s v="Cleared"/>
  </r>
  <r>
    <s v="INV024"/>
    <x v="23"/>
    <s v="Nova Furnishings"/>
    <s v="Other Income"/>
    <s v="Scrap Sale"/>
    <x v="4"/>
    <n v="514"/>
    <s v="Rohit"/>
    <s v="Completed"/>
  </r>
  <r>
    <s v="INV025"/>
    <x v="24"/>
    <s v="Green Woods"/>
    <s v="Other Income"/>
    <s v="Scrap Sale"/>
    <x v="3"/>
    <n v="455"/>
    <s v="Priya"/>
    <s v="Verified"/>
  </r>
  <r>
    <s v="INV026"/>
    <x v="25"/>
    <s v="Sunrise Traders"/>
    <s v="Other Income"/>
    <s v="Scrap Sale"/>
    <x v="1"/>
    <n v="665"/>
    <s v="Amit"/>
    <s v="Received"/>
  </r>
  <r>
    <s v="INV027"/>
    <x v="26"/>
    <s v="Future Furniture"/>
    <s v="Interest"/>
    <s v="Bank Interest"/>
    <x v="1"/>
    <n v="96"/>
    <s v="Rohit"/>
    <s v="Received"/>
  </r>
  <r>
    <s v="INV028"/>
    <x v="27"/>
    <s v="Smart Home"/>
    <s v="Service Income"/>
    <s v="Site Visit"/>
    <x v="4"/>
    <n v="414"/>
    <s v="Priya"/>
    <s v="Completed"/>
  </r>
  <r>
    <s v="INV029"/>
    <x v="28"/>
    <s v="Build Craft"/>
    <s v="Commission"/>
    <s v="Sales Incentive"/>
    <x v="1"/>
    <n v="414"/>
    <s v="Jatin"/>
    <s v="Completed"/>
  </r>
  <r>
    <s v="INV030"/>
    <x v="29"/>
    <s v="Nimbus Projects"/>
    <s v="Other Income"/>
    <s v="Scrap Sale"/>
    <x v="0"/>
    <n v="234"/>
    <s v="System"/>
    <s v="Received"/>
  </r>
  <r>
    <s v="INV031"/>
    <x v="30"/>
    <s v="Metro Homes"/>
    <s v="Sales"/>
    <s v="Laminates"/>
    <x v="1"/>
    <n v="2620"/>
    <s v="System"/>
    <s v="Received"/>
  </r>
  <r>
    <s v="INV032"/>
    <x v="31"/>
    <s v="Rahul Enterprises"/>
    <s v="Interest"/>
    <s v="Bank Interest"/>
    <x v="2"/>
    <n v="197"/>
    <s v="Rohit"/>
    <s v="Verified"/>
  </r>
  <r>
    <s v="INV033"/>
    <x v="32"/>
    <s v="Alpha Interiors"/>
    <s v="Other Income"/>
    <s v="Scrap Sale"/>
    <x v="2"/>
    <n v="555"/>
    <s v="Rohit"/>
    <s v="Received"/>
  </r>
  <r>
    <s v="INV034"/>
    <x v="33"/>
    <s v="Rahul Enterprises"/>
    <s v="Commission"/>
    <s v="Referral Commission"/>
    <x v="3"/>
    <n v="456"/>
    <s v="System"/>
    <s v="Cleared"/>
  </r>
  <r>
    <s v="INV035"/>
    <x v="34"/>
    <s v="Bright Designs"/>
    <s v="Commission"/>
    <s v="Sales Incentive"/>
    <x v="5"/>
    <n v="661"/>
    <s v="Amit"/>
    <s v="Cleared"/>
  </r>
  <r>
    <s v="INV036"/>
    <x v="35"/>
    <s v="Home Plus"/>
    <s v="Service Income"/>
    <s v="Delivery Charges"/>
    <x v="3"/>
    <n v="827"/>
    <s v="Jatin"/>
    <s v="Completed"/>
  </r>
  <r>
    <s v="INV037"/>
    <x v="36"/>
    <s v="Sharma Traders"/>
    <s v="Commission"/>
    <s v="Sales Incentive"/>
    <x v="1"/>
    <n v="438"/>
    <s v="System"/>
    <s v="Completed"/>
  </r>
  <r>
    <s v="INV038"/>
    <x v="37"/>
    <s v="Galaxy Furniture"/>
    <s v="Sales"/>
    <s v="MDF Boards"/>
    <x v="5"/>
    <n v="4436"/>
    <s v="System"/>
    <s v="Paid"/>
  </r>
  <r>
    <s v="INV039"/>
    <x v="38"/>
    <s v="Urban Living"/>
    <s v="Commission"/>
    <s v="Sales Incentive"/>
    <x v="1"/>
    <n v="268"/>
    <s v="Priya"/>
    <s v="Cleared"/>
  </r>
  <r>
    <s v="INV040"/>
    <x v="39"/>
    <s v="Smart Furniture"/>
    <s v="Interest"/>
    <s v="Bank Interest"/>
    <x v="2"/>
    <n v="215"/>
    <s v="System"/>
    <s v="Received"/>
  </r>
  <r>
    <s v="INV041"/>
    <x v="40"/>
    <s v="Elegant Homes"/>
    <s v="Sales"/>
    <s v="Plywood Supply"/>
    <x v="4"/>
    <n v="6164"/>
    <s v="Amit"/>
    <s v="Completed"/>
  </r>
  <r>
    <s v="INV042"/>
    <x v="41"/>
    <s v="Prime Traders"/>
    <s v="Service Income"/>
    <s v="Site Visit"/>
    <x v="4"/>
    <n v="591"/>
    <s v="Jatin"/>
    <s v="Cleared"/>
  </r>
  <r>
    <s v="INV043"/>
    <x v="42"/>
    <s v="Dream Interiors"/>
    <s v="Interest"/>
    <s v="Bank Interest"/>
    <x v="4"/>
    <n v="83"/>
    <s v="Rohit"/>
    <s v="Verified"/>
  </r>
  <r>
    <s v="INV044"/>
    <x v="43"/>
    <s v="Metro Homes"/>
    <s v="Service Income"/>
    <s v="Consultation"/>
    <x v="3"/>
    <n v="610"/>
    <s v="Jatin"/>
    <s v="Verified"/>
  </r>
  <r>
    <s v="INV045"/>
    <x v="44"/>
    <s v="Home Style"/>
    <s v="Other Income"/>
    <s v="Scrap Sale"/>
    <x v="5"/>
    <n v="682"/>
    <s v="Jatin"/>
    <s v="Verified"/>
  </r>
  <r>
    <s v="INV046"/>
    <x v="45"/>
    <s v="Home Vision"/>
    <s v="Other Income"/>
    <s v="Misc Income"/>
    <x v="2"/>
    <n v="213"/>
    <s v="System"/>
    <s v="Received"/>
  </r>
  <r>
    <s v="INV047"/>
    <x v="46"/>
    <s v="Metro Homes"/>
    <s v="Interest"/>
    <s v="Bank Interest"/>
    <x v="1"/>
    <n v="110"/>
    <s v="Jatin"/>
    <s v="Cleared"/>
  </r>
  <r>
    <s v="INV048"/>
    <x v="47"/>
    <s v="Star Decor"/>
    <s v="Commission"/>
    <s v="Sales Incentive"/>
    <x v="2"/>
    <n v="434"/>
    <s v="System"/>
    <s v="Completed"/>
  </r>
  <r>
    <s v="INV049"/>
    <x v="48"/>
    <s v="Apex Retail"/>
    <s v="Commission"/>
    <s v="Referral Commission"/>
    <x v="1"/>
    <n v="529"/>
    <s v="System"/>
    <s v="Completed"/>
  </r>
  <r>
    <s v="INV050"/>
    <x v="49"/>
    <s v="Build Craft"/>
    <s v="Commission"/>
    <s v="Referral Commission"/>
    <x v="2"/>
    <n v="715"/>
    <s v="Amit"/>
    <s v="Completed"/>
  </r>
  <r>
    <s v="INV051"/>
    <x v="50"/>
    <s v="Royal Furnishers"/>
    <s v="Commission"/>
    <s v="Dealer Commission"/>
    <x v="0"/>
    <n v="865"/>
    <s v="System"/>
    <s v="Received"/>
  </r>
  <r>
    <s v="INV052"/>
    <x v="51"/>
    <s v="Future Furniture"/>
    <s v="Commission"/>
    <s v="Sales Incentive"/>
    <x v="4"/>
    <n v="260"/>
    <s v="Priya"/>
    <s v="Completed"/>
  </r>
  <r>
    <s v="INV053"/>
    <x v="52"/>
    <s v="Alpha Interiors"/>
    <s v="Other Income"/>
    <s v="Misc Income"/>
    <x v="1"/>
    <n v="635"/>
    <s v="Amit"/>
    <s v="Verified"/>
  </r>
  <r>
    <s v="INV054"/>
    <x v="53"/>
    <s v="Smart Home"/>
    <s v="Service Income"/>
    <s v="Installation Service"/>
    <x v="2"/>
    <n v="780"/>
    <s v="System"/>
    <s v="Paid"/>
  </r>
  <r>
    <s v="INV055"/>
    <x v="54"/>
    <s v="Crystal Homes"/>
    <s v="Service Income"/>
    <s v="Delivery Charges"/>
    <x v="2"/>
    <n v="462"/>
    <s v="Priya"/>
    <s v="Cleared"/>
  </r>
  <r>
    <s v="INV056"/>
    <x v="55"/>
    <s v="Pioneer Furniture"/>
    <s v="Interest"/>
    <s v="Bank Interest"/>
    <x v="4"/>
    <n v="139"/>
    <s v="Priya"/>
    <s v="Received"/>
  </r>
  <r>
    <s v="INV057"/>
    <x v="56"/>
    <s v="Crystal Homes"/>
    <s v="Other Income"/>
    <s v="Misc Income"/>
    <x v="2"/>
    <n v="427"/>
    <s v="System"/>
    <s v="Paid"/>
  </r>
  <r>
    <s v="INV058"/>
    <x v="57"/>
    <s v="Dream House"/>
    <s v="Sales"/>
    <s v="Decorative Panels"/>
    <x v="3"/>
    <n v="2610"/>
    <s v="System"/>
    <s v="Paid"/>
  </r>
  <r>
    <s v="INV059"/>
    <x v="58"/>
    <s v="Premium Decor"/>
    <s v="Interest"/>
    <s v="Bank Interest"/>
    <x v="5"/>
    <n v="196"/>
    <s v="Rohit"/>
    <s v="Received"/>
  </r>
  <r>
    <s v="INV060"/>
    <x v="59"/>
    <s v="Quality Wood"/>
    <s v="Interest"/>
    <s v="Bank Interest"/>
    <x v="4"/>
    <n v="100"/>
    <s v="Rohit"/>
    <s v="Paid"/>
  </r>
  <r>
    <s v="INV061"/>
    <x v="60"/>
    <s v="Vision Interiors"/>
    <s v="Sales"/>
    <s v="Decorative Panels"/>
    <x v="3"/>
    <n v="3268"/>
    <s v="Amit"/>
    <s v="Paid"/>
  </r>
  <r>
    <s v="INV062"/>
    <x v="61"/>
    <s v="Sunrise Traders"/>
    <s v="Sales"/>
    <s v="Laminates"/>
    <x v="4"/>
    <n v="1738"/>
    <s v="Rohit"/>
    <s v="Completed"/>
  </r>
  <r>
    <s v="INV063"/>
    <x v="62"/>
    <s v="Elegant Living"/>
    <s v="Sales"/>
    <s v="Plywood Supply"/>
    <x v="4"/>
    <n v="3533"/>
    <s v="Amit"/>
    <s v="Verified"/>
  </r>
  <r>
    <s v="INV064"/>
    <x v="63"/>
    <s v="Sunrise Traders"/>
    <s v="Interest"/>
    <s v="Bank Interest"/>
    <x v="0"/>
    <n v="185"/>
    <s v="Priya"/>
    <s v="Received"/>
  </r>
  <r>
    <s v="INV065"/>
    <x v="64"/>
    <s v="Oakline"/>
    <s v="Other Income"/>
    <s v="Misc Income"/>
    <x v="0"/>
    <n v="306"/>
    <s v="Jatin"/>
    <s v="Cleared"/>
  </r>
  <r>
    <s v="INV066"/>
    <x v="65"/>
    <s v="Nimbus Projects"/>
    <s v="Interest"/>
    <s v="Bank Interest"/>
    <x v="5"/>
    <n v="151"/>
    <s v="Priya"/>
    <s v="Received"/>
  </r>
  <r>
    <s v="INV067"/>
    <x v="66"/>
    <s v="Vertex Build"/>
    <s v="Interest"/>
    <s v="Bank Interest"/>
    <x v="0"/>
    <n v="95"/>
    <s v="Jatin"/>
    <s v="Completed"/>
  </r>
  <r>
    <s v="INV068"/>
    <x v="67"/>
    <s v="Happy Furniture"/>
    <s v="Interest"/>
    <s v="Bank Interest"/>
    <x v="0"/>
    <n v="241"/>
    <s v="System"/>
    <s v="Paid"/>
  </r>
  <r>
    <s v="INV069"/>
    <x v="68"/>
    <s v="Sunrise Traders"/>
    <s v="Commission"/>
    <s v="Referral Commission"/>
    <x v="3"/>
    <n v="856"/>
    <s v="Rohit"/>
    <s v="Received"/>
  </r>
  <r>
    <s v="INV070"/>
    <x v="69"/>
    <s v="Apex Retail"/>
    <s v="Other Income"/>
    <s v="Scrap Sale"/>
    <x v="4"/>
    <n v="298"/>
    <s v="System"/>
    <s v="Verified"/>
  </r>
  <r>
    <s v="INV071"/>
    <x v="70"/>
    <s v="Modern Homes"/>
    <s v="Other Income"/>
    <s v="Scrap Sale"/>
    <x v="4"/>
    <n v="249"/>
    <s v="Amit"/>
    <s v="Completed"/>
  </r>
  <r>
    <s v="INV072"/>
    <x v="71"/>
    <s v="City Decor"/>
    <s v="Commission"/>
    <s v="Referral Commission"/>
    <x v="3"/>
    <n v="498"/>
    <s v="Rohit"/>
    <s v="Completed"/>
  </r>
  <r>
    <s v="INV073"/>
    <x v="72"/>
    <s v="Prime Traders"/>
    <s v="Service Income"/>
    <s v="Delivery Charges"/>
    <x v="4"/>
    <n v="483"/>
    <s v="System"/>
    <s v="Verified"/>
  </r>
  <r>
    <s v="INV074"/>
    <x v="73"/>
    <s v="Pioneer Furniture"/>
    <s v="Service Income"/>
    <s v="Site Visit"/>
    <x v="5"/>
    <n v="1057"/>
    <s v="Jatin"/>
    <s v="Cleared"/>
  </r>
  <r>
    <s v="INV075"/>
    <x v="74"/>
    <s v="City Decor"/>
    <s v="Other Income"/>
    <s v="Misc Income"/>
    <x v="2"/>
    <n v="202"/>
    <s v="Rohit"/>
    <s v="Verified"/>
  </r>
  <r>
    <s v="INV076"/>
    <x v="75"/>
    <s v="Quality Wood"/>
    <s v="Interest"/>
    <s v="Bank Interest"/>
    <x v="1"/>
    <n v="164"/>
    <s v="System"/>
    <s v="Received"/>
  </r>
  <r>
    <s v="INV077"/>
    <x v="76"/>
    <s v="Sunrise Traders"/>
    <s v="Service Income"/>
    <s v="Installation Service"/>
    <x v="3"/>
    <n v="636"/>
    <s v="System"/>
    <s v="Paid"/>
  </r>
  <r>
    <s v="INV078"/>
    <x v="77"/>
    <s v="Urban Spaces"/>
    <s v="Interest"/>
    <s v="Bank Interest"/>
    <x v="3"/>
    <n v="105"/>
    <s v="System"/>
    <s v="Paid"/>
  </r>
  <r>
    <s v="INV079"/>
    <x v="78"/>
    <s v="Urban Spaces"/>
    <s v="Interest"/>
    <s v="Bank Interest"/>
    <x v="3"/>
    <n v="154"/>
    <s v="Rohit"/>
    <s v="Cleared"/>
  </r>
  <r>
    <s v="INV080"/>
    <x v="79"/>
    <s v="Sky Furniture"/>
    <s v="Sales"/>
    <s v="Laminates"/>
    <x v="3"/>
    <n v="1970"/>
    <s v="Jatin"/>
    <s v="Completed"/>
  </r>
  <r>
    <s v="INV081"/>
    <x v="80"/>
    <s v="Build Craft"/>
    <s v="Commission"/>
    <s v="Dealer Commission"/>
    <x v="0"/>
    <n v="447"/>
    <s v="Priya"/>
    <s v="Paid"/>
  </r>
  <r>
    <s v="INV082"/>
    <x v="81"/>
    <s v="Premium Decor"/>
    <s v="Other Income"/>
    <s v="Scrap Sale"/>
    <x v="3"/>
    <n v="626"/>
    <s v="Jatin"/>
    <s v="Verified"/>
  </r>
  <r>
    <s v="INV083"/>
    <x v="82"/>
    <s v="Home Vision"/>
    <s v="Service Income"/>
    <s v="Consultation"/>
    <x v="0"/>
    <n v="1054"/>
    <s v="System"/>
    <s v="Cleared"/>
  </r>
  <r>
    <s v="INV084"/>
    <x v="83"/>
    <s v="Nimbus Projects"/>
    <s v="Commission"/>
    <s v="Sales Incentive"/>
    <x v="3"/>
    <n v="505"/>
    <s v="Priya"/>
    <s v="Cleared"/>
  </r>
  <r>
    <s v="INV085"/>
    <x v="84"/>
    <s v="NextGen Decor"/>
    <s v="Sales"/>
    <s v="HDHMR Boards"/>
    <x v="1"/>
    <n v="2531"/>
    <s v="Priya"/>
    <s v="Cleared"/>
  </r>
  <r>
    <s v="INV086"/>
    <x v="85"/>
    <s v="Alpha Decor"/>
    <s v="Service Income"/>
    <s v="Installation Service"/>
    <x v="2"/>
    <n v="338"/>
    <s v="Amit"/>
    <s v="Cleared"/>
  </r>
  <r>
    <s v="INV087"/>
    <x v="86"/>
    <s v="Home Plus"/>
    <s v="Commission"/>
    <s v="Sales Incentive"/>
    <x v="2"/>
    <n v="636"/>
    <s v="Priya"/>
    <s v="Paid"/>
  </r>
  <r>
    <s v="INV088"/>
    <x v="87"/>
    <s v="Metro Homes"/>
    <s v="Sales"/>
    <s v="Plywood Supply"/>
    <x v="0"/>
    <n v="1529"/>
    <s v="Amit"/>
    <s v="Received"/>
  </r>
  <r>
    <s v="INV089"/>
    <x v="88"/>
    <s v="Bright Designs"/>
    <s v="Commission"/>
    <s v="Dealer Commission"/>
    <x v="5"/>
    <n v="801"/>
    <s v="System"/>
    <s v="Received"/>
  </r>
  <r>
    <s v="INV090"/>
    <x v="89"/>
    <s v="Elegant Living"/>
    <s v="Service Income"/>
    <s v="Installation Service"/>
    <x v="3"/>
    <n v="753"/>
    <s v="Rohit"/>
    <s v="Paid"/>
  </r>
  <r>
    <s v="INV091"/>
    <x v="90"/>
    <s v="Interior Hub"/>
    <s v="Commission"/>
    <s v="Dealer Commission"/>
    <x v="4"/>
    <n v="575"/>
    <s v="Jatin"/>
    <s v="Completed"/>
  </r>
  <r>
    <s v="INV092"/>
    <x v="91"/>
    <s v="Alpha Interiors"/>
    <s v="Commission"/>
    <s v="Referral Commission"/>
    <x v="2"/>
    <n v="759"/>
    <s v="Priya"/>
    <s v="Paid"/>
  </r>
  <r>
    <s v="INV093"/>
    <x v="92"/>
    <s v="Sky Furniture"/>
    <s v="Interest"/>
    <s v="Bank Interest"/>
    <x v="4"/>
    <n v="199"/>
    <s v="System"/>
    <s v="Paid"/>
  </r>
  <r>
    <s v="INV094"/>
    <x v="93"/>
    <s v="Krishna Traders"/>
    <s v="Service Income"/>
    <s v="Consultation"/>
    <x v="1"/>
    <n v="323"/>
    <s v="System"/>
    <s v="Verified"/>
  </r>
  <r>
    <s v="INV095"/>
    <x v="94"/>
    <s v="Alpha Decor"/>
    <s v="Interest"/>
    <s v="Bank Interest"/>
    <x v="3"/>
    <n v="244"/>
    <s v="Rohit"/>
    <s v="Paid"/>
  </r>
  <r>
    <s v="INV096"/>
    <x v="95"/>
    <s v="Interior Hub"/>
    <s v="Commission"/>
    <s v="Sales Incentive"/>
    <x v="4"/>
    <n v="392"/>
    <s v="Jatin"/>
    <s v="Paid"/>
  </r>
  <r>
    <s v="INV097"/>
    <x v="96"/>
    <s v="Elegant Homes"/>
    <s v="Other Income"/>
    <s v="Misc Income"/>
    <x v="0"/>
    <n v="434"/>
    <s v="System"/>
    <s v="Received"/>
  </r>
  <r>
    <s v="INV098"/>
    <x v="97"/>
    <s v="Galaxy Furniture"/>
    <s v="Service Income"/>
    <s v="Delivery Charges"/>
    <x v="0"/>
    <n v="1031"/>
    <s v="Jatin"/>
    <s v="Completed"/>
  </r>
  <r>
    <s v="INV099"/>
    <x v="98"/>
    <s v="Urban Living"/>
    <s v="Sales"/>
    <s v="Plywood Supply"/>
    <x v="2"/>
    <n v="5732"/>
    <s v="Amit"/>
    <s v="Received"/>
  </r>
  <r>
    <s v="INV100"/>
    <x v="99"/>
    <s v="Galaxy Furniture"/>
    <s v="Service Income"/>
    <s v="Delivery Charges"/>
    <x v="3"/>
    <n v="1108"/>
    <s v="Amit"/>
    <s v="Verified"/>
  </r>
  <r>
    <s v="INV101"/>
    <x v="100"/>
    <s v="Build Craft"/>
    <s v="Sales"/>
    <s v="Flush Doors"/>
    <x v="1"/>
    <n v="3114"/>
    <s v="Rohit"/>
    <s v="Verified"/>
  </r>
  <r>
    <s v="INV102"/>
    <x v="101"/>
    <s v="Interior Studio"/>
    <s v="Other Income"/>
    <s v="Misc Income"/>
    <x v="2"/>
    <n v="680"/>
    <s v="Priya"/>
    <s v="Paid"/>
  </r>
  <r>
    <s v="INV103"/>
    <x v="102"/>
    <s v="Royal Furnishers"/>
    <s v="Interest"/>
    <s v="Bank Interest"/>
    <x v="5"/>
    <n v="144"/>
    <s v="Rohit"/>
    <s v="Paid"/>
  </r>
  <r>
    <s v="INV104"/>
    <x v="103"/>
    <s v="Zenith Traders"/>
    <s v="Interest"/>
    <s v="Bank Interest"/>
    <x v="5"/>
    <n v="99"/>
    <s v="Jatin"/>
    <s v="Verified"/>
  </r>
  <r>
    <s v="INV105"/>
    <x v="104"/>
    <s v="Crystal Homes"/>
    <s v="Service Income"/>
    <s v="Site Visit"/>
    <x v="1"/>
    <n v="988"/>
    <s v="Priya"/>
    <s v="Paid"/>
  </r>
  <r>
    <s v="INV106"/>
    <x v="105"/>
    <s v="Royal Designers"/>
    <s v="Sales"/>
    <s v="MDF Boards"/>
    <x v="5"/>
    <n v="3671"/>
    <s v="Amit"/>
    <s v="Paid"/>
  </r>
  <r>
    <s v="INV107"/>
    <x v="106"/>
    <s v="Home Plus"/>
    <s v="Service Income"/>
    <s v="Delivery Charges"/>
    <x v="0"/>
    <n v="366"/>
    <s v="Priya"/>
    <s v="Paid"/>
  </r>
  <r>
    <s v="INV108"/>
    <x v="107"/>
    <s v="Metro Homes"/>
    <s v="Interest"/>
    <s v="Bank Interest"/>
    <x v="3"/>
    <n v="213"/>
    <s v="System"/>
    <s v="Received"/>
  </r>
  <r>
    <s v="INV109"/>
    <x v="108"/>
    <s v="Royal Furnishers"/>
    <s v="Commission"/>
    <s v="Referral Commission"/>
    <x v="0"/>
    <n v="642"/>
    <s v="Amit"/>
    <s v="Received"/>
  </r>
  <r>
    <s v="INV110"/>
    <x v="109"/>
    <s v="Dream House"/>
    <s v="Interest"/>
    <s v="Bank Interest"/>
    <x v="2"/>
    <n v="248"/>
    <s v="Rohit"/>
    <s v="Cleared"/>
  </r>
  <r>
    <s v="INV111"/>
    <x v="110"/>
    <s v="Metro Homes"/>
    <s v="Other Income"/>
    <s v="Scrap Sale"/>
    <x v="2"/>
    <n v="492"/>
    <s v="Amit"/>
    <s v="Completed"/>
  </r>
  <r>
    <s v="INV112"/>
    <x v="111"/>
    <s v="Modern Homes"/>
    <s v="Service Income"/>
    <s v="Delivery Charges"/>
    <x v="3"/>
    <n v="820"/>
    <s v="Rohit"/>
    <s v="Cleared"/>
  </r>
  <r>
    <s v="INV113"/>
    <x v="112"/>
    <s v="Alpha Interiors"/>
    <s v="Other Income"/>
    <s v="Scrap Sale"/>
    <x v="2"/>
    <n v="519"/>
    <s v="Rohit"/>
    <s v="Received"/>
  </r>
  <r>
    <s v="INV114"/>
    <x v="113"/>
    <s v="Interior Studio"/>
    <s v="Commission"/>
    <s v="Referral Commission"/>
    <x v="1"/>
    <n v="377"/>
    <s v="Amit"/>
    <s v="Received"/>
  </r>
  <r>
    <s v="INV115"/>
    <x v="114"/>
    <s v="John Traders"/>
    <s v="Other Income"/>
    <s v="Scrap Sale"/>
    <x v="1"/>
    <n v="653"/>
    <s v="Jatin"/>
    <s v="Paid"/>
  </r>
  <r>
    <s v="INV116"/>
    <x v="115"/>
    <s v="Elegant Homes"/>
    <s v="Sales"/>
    <s v="Block Board"/>
    <x v="2"/>
    <n v="5707"/>
    <s v="Priya"/>
    <s v="Cleared"/>
  </r>
  <r>
    <s v="INV117"/>
    <x v="116"/>
    <s v="Blue Star"/>
    <s v="Service Income"/>
    <s v="Consultation"/>
    <x v="2"/>
    <n v="831"/>
    <s v="Priya"/>
    <s v="Cleared"/>
  </r>
  <r>
    <s v="INV118"/>
    <x v="117"/>
    <s v="Interior Hub"/>
    <s v="Sales"/>
    <s v="Flush Doors"/>
    <x v="3"/>
    <n v="4577"/>
    <s v="System"/>
    <s v="Paid"/>
  </r>
  <r>
    <s v="INV119"/>
    <x v="118"/>
    <s v="Interior Studio"/>
    <s v="Sales"/>
    <s v="Plywood Supply"/>
    <x v="1"/>
    <n v="1965"/>
    <s v="Priya"/>
    <s v="Paid"/>
  </r>
  <r>
    <s v="INV120"/>
    <x v="119"/>
    <s v="Dream Interiors"/>
    <s v="Commission"/>
    <s v="Referral Commission"/>
    <x v="5"/>
    <n v="675"/>
    <s v="Rohit"/>
    <s v="Complete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s v="V001"/>
    <x v="0"/>
    <s v="Microsoft 365"/>
    <x v="0"/>
    <n v="984"/>
    <x v="0"/>
    <s v="Amit"/>
  </r>
  <r>
    <x v="1"/>
    <x v="1"/>
    <x v="1"/>
    <s v="V002"/>
    <x v="1"/>
    <s v="Petrol"/>
    <x v="1"/>
    <n v="793"/>
    <x v="0"/>
    <s v="Jatin"/>
  </r>
  <r>
    <x v="2"/>
    <x v="2"/>
    <x v="2"/>
    <s v="V003"/>
    <x v="2"/>
    <s v="Tea &amp; Snacks"/>
    <x v="2"/>
    <n v="600"/>
    <x v="0"/>
    <s v="Priya"/>
  </r>
  <r>
    <x v="3"/>
    <x v="3"/>
    <x v="3"/>
    <s v="V004"/>
    <x v="3"/>
    <s v="Sales Salary"/>
    <x v="3"/>
    <n v="4999"/>
    <x v="1"/>
    <s v="Manager"/>
  </r>
  <r>
    <x v="4"/>
    <x v="4"/>
    <x v="4"/>
    <s v="V005"/>
    <x v="4"/>
    <s v="Boxes"/>
    <x v="4"/>
    <n v="873"/>
    <x v="0"/>
    <s v="Amit"/>
  </r>
  <r>
    <x v="5"/>
    <x v="5"/>
    <x v="5"/>
    <s v="V006"/>
    <x v="5"/>
    <s v="Broadband Bill"/>
    <x v="0"/>
    <n v="502"/>
    <x v="0"/>
    <s v="Manager"/>
  </r>
  <r>
    <x v="6"/>
    <x v="6"/>
    <x v="6"/>
    <s v="V007"/>
    <x v="0"/>
    <s v="CRM Subscription"/>
    <x v="3"/>
    <n v="708"/>
    <x v="1"/>
    <s v="Jatin"/>
  </r>
  <r>
    <x v="7"/>
    <x v="7"/>
    <x v="7"/>
    <s v="V008"/>
    <x v="5"/>
    <s v="Broadband Bill"/>
    <x v="1"/>
    <n v="790"/>
    <x v="0"/>
    <s v="Amit"/>
  </r>
  <r>
    <x v="8"/>
    <x v="8"/>
    <x v="8"/>
    <s v="V009"/>
    <x v="6"/>
    <s v="Banner Printing"/>
    <x v="0"/>
    <n v="788"/>
    <x v="0"/>
    <s v="Amit"/>
  </r>
  <r>
    <x v="9"/>
    <x v="9"/>
    <x v="5"/>
    <s v="V006"/>
    <x v="4"/>
    <s v="Packing Tape"/>
    <x v="2"/>
    <n v="537"/>
    <x v="1"/>
    <s v="Jatin"/>
  </r>
  <r>
    <x v="10"/>
    <x v="10"/>
    <x v="9"/>
    <s v="V010"/>
    <x v="7"/>
    <s v="Business Insurance"/>
    <x v="2"/>
    <n v="191"/>
    <x v="0"/>
    <s v="Amit"/>
  </r>
  <r>
    <x v="11"/>
    <x v="11"/>
    <x v="3"/>
    <s v="V004"/>
    <x v="1"/>
    <s v="Petrol"/>
    <x v="3"/>
    <n v="454"/>
    <x v="0"/>
    <s v="Manager"/>
  </r>
  <r>
    <x v="12"/>
    <x v="12"/>
    <x v="6"/>
    <s v="V007"/>
    <x v="4"/>
    <s v="Boxes"/>
    <x v="3"/>
    <n v="1268"/>
    <x v="1"/>
    <s v="Amit"/>
  </r>
  <r>
    <x v="13"/>
    <x v="13"/>
    <x v="10"/>
    <s v="V011"/>
    <x v="7"/>
    <s v="Business Insurance"/>
    <x v="4"/>
    <n v="163"/>
    <x v="1"/>
    <s v="Manager"/>
  </r>
  <r>
    <x v="14"/>
    <x v="14"/>
    <x v="4"/>
    <s v="V005"/>
    <x v="8"/>
    <s v="Ink Cartridges"/>
    <x v="2"/>
    <n v="580"/>
    <x v="0"/>
    <s v="Priya"/>
  </r>
  <r>
    <x v="15"/>
    <x v="15"/>
    <x v="0"/>
    <s v="V001"/>
    <x v="9"/>
    <s v="GST Payment"/>
    <x v="4"/>
    <n v="829"/>
    <x v="1"/>
    <s v="Manager"/>
  </r>
  <r>
    <x v="16"/>
    <x v="16"/>
    <x v="11"/>
    <s v="V012"/>
    <x v="10"/>
    <s v="Office Rent"/>
    <x v="5"/>
    <n v="1596"/>
    <x v="1"/>
    <s v="Amit"/>
  </r>
  <r>
    <x v="17"/>
    <x v="17"/>
    <x v="1"/>
    <s v="V002"/>
    <x v="7"/>
    <s v="Business Insurance"/>
    <x v="3"/>
    <n v="284"/>
    <x v="0"/>
    <s v="Manager"/>
  </r>
  <r>
    <x v="18"/>
    <x v="18"/>
    <x v="5"/>
    <s v="V006"/>
    <x v="5"/>
    <s v="Broadband Bill"/>
    <x v="0"/>
    <n v="584"/>
    <x v="0"/>
    <s v="Amit"/>
  </r>
  <r>
    <x v="19"/>
    <x v="19"/>
    <x v="12"/>
    <s v="V013"/>
    <x v="9"/>
    <s v="Professional Tax"/>
    <x v="2"/>
    <n v="1123"/>
    <x v="1"/>
    <s v="Priya"/>
  </r>
  <r>
    <x v="20"/>
    <x v="20"/>
    <x v="2"/>
    <s v="V003"/>
    <x v="4"/>
    <s v="Bubble Wrap"/>
    <x v="0"/>
    <n v="1479"/>
    <x v="1"/>
    <s v="Jatin"/>
  </r>
  <r>
    <x v="21"/>
    <x v="21"/>
    <x v="6"/>
    <s v="V007"/>
    <x v="10"/>
    <s v="Office Rent"/>
    <x v="2"/>
    <n v="2803"/>
    <x v="0"/>
    <s v="Amit"/>
  </r>
  <r>
    <x v="22"/>
    <x v="22"/>
    <x v="3"/>
    <s v="V004"/>
    <x v="0"/>
    <s v="CRM Subscription"/>
    <x v="3"/>
    <n v="809"/>
    <x v="1"/>
    <s v="Amit"/>
  </r>
  <r>
    <x v="23"/>
    <x v="23"/>
    <x v="2"/>
    <s v="V003"/>
    <x v="9"/>
    <s v="Professional Tax"/>
    <x v="5"/>
    <n v="1126"/>
    <x v="0"/>
    <s v="Priya"/>
  </r>
  <r>
    <x v="24"/>
    <x v="24"/>
    <x v="3"/>
    <s v="V004"/>
    <x v="2"/>
    <s v="Tea &amp; Snacks"/>
    <x v="1"/>
    <n v="354"/>
    <x v="0"/>
    <s v="Manager"/>
  </r>
  <r>
    <x v="25"/>
    <x v="25"/>
    <x v="13"/>
    <s v="V014"/>
    <x v="6"/>
    <s v="Facebook Ads"/>
    <x v="2"/>
    <n v="855"/>
    <x v="0"/>
    <s v="Amit"/>
  </r>
  <r>
    <x v="26"/>
    <x v="26"/>
    <x v="0"/>
    <s v="V001"/>
    <x v="10"/>
    <s v="Office Rent"/>
    <x v="1"/>
    <n v="1385"/>
    <x v="0"/>
    <s v="Jatin"/>
  </r>
  <r>
    <x v="27"/>
    <x v="27"/>
    <x v="3"/>
    <s v="V004"/>
    <x v="7"/>
    <s v="Business Insurance"/>
    <x v="2"/>
    <n v="351"/>
    <x v="1"/>
    <s v="Jatin"/>
  </r>
  <r>
    <x v="28"/>
    <x v="28"/>
    <x v="14"/>
    <s v="V015"/>
    <x v="3"/>
    <s v="Staff Salary"/>
    <x v="4"/>
    <n v="1821"/>
    <x v="0"/>
    <s v="Manager"/>
  </r>
  <r>
    <x v="29"/>
    <x v="29"/>
    <x v="11"/>
    <s v="V012"/>
    <x v="1"/>
    <s v="Petrol"/>
    <x v="3"/>
    <n v="356"/>
    <x v="1"/>
    <s v="Manager"/>
  </r>
  <r>
    <x v="30"/>
    <x v="30"/>
    <x v="10"/>
    <s v="V011"/>
    <x v="11"/>
    <s v="Office Repair"/>
    <x v="4"/>
    <n v="312"/>
    <x v="0"/>
    <s v="Jatin"/>
  </r>
  <r>
    <x v="31"/>
    <x v="31"/>
    <x v="1"/>
    <s v="V002"/>
    <x v="5"/>
    <s v="Broadband Bill"/>
    <x v="5"/>
    <n v="461"/>
    <x v="0"/>
    <s v="Amit"/>
  </r>
  <r>
    <x v="32"/>
    <x v="32"/>
    <x v="15"/>
    <s v="V016"/>
    <x v="4"/>
    <s v="Boxes"/>
    <x v="5"/>
    <n v="293"/>
    <x v="1"/>
    <s v="Jatin"/>
  </r>
  <r>
    <x v="33"/>
    <x v="33"/>
    <x v="16"/>
    <s v="V017"/>
    <x v="4"/>
    <s v="Bubble Wrap"/>
    <x v="2"/>
    <n v="509"/>
    <x v="1"/>
    <s v="Amit"/>
  </r>
  <r>
    <x v="34"/>
    <x v="34"/>
    <x v="8"/>
    <s v="V009"/>
    <x v="10"/>
    <s v="Office Rent"/>
    <x v="5"/>
    <n v="1907"/>
    <x v="0"/>
    <s v="Amit"/>
  </r>
  <r>
    <x v="35"/>
    <x v="35"/>
    <x v="17"/>
    <s v="V018"/>
    <x v="7"/>
    <s v="Business Insurance"/>
    <x v="2"/>
    <n v="427"/>
    <x v="0"/>
    <s v="Manager"/>
  </r>
  <r>
    <x v="36"/>
    <x v="36"/>
    <x v="17"/>
    <s v="V018"/>
    <x v="6"/>
    <s v="Banner Printing"/>
    <x v="5"/>
    <n v="971"/>
    <x v="0"/>
    <s v="Priya"/>
  </r>
  <r>
    <x v="37"/>
    <x v="37"/>
    <x v="9"/>
    <s v="V010"/>
    <x v="9"/>
    <s v="GST Payment"/>
    <x v="2"/>
    <n v="2047"/>
    <x v="0"/>
    <s v="Manager"/>
  </r>
  <r>
    <x v="38"/>
    <x v="38"/>
    <x v="10"/>
    <s v="V011"/>
    <x v="12"/>
    <s v="Monthly Electric Bill"/>
    <x v="1"/>
    <n v="910"/>
    <x v="1"/>
    <s v="Jatin"/>
  </r>
  <r>
    <x v="39"/>
    <x v="39"/>
    <x v="5"/>
    <s v="V006"/>
    <x v="1"/>
    <s v="Petrol"/>
    <x v="4"/>
    <n v="431"/>
    <x v="1"/>
    <s v="Amit"/>
  </r>
  <r>
    <x v="40"/>
    <x v="40"/>
    <x v="18"/>
    <s v="V019"/>
    <x v="9"/>
    <s v="GST Payment"/>
    <x v="0"/>
    <n v="1795"/>
    <x v="0"/>
    <s v="Manager"/>
  </r>
  <r>
    <x v="41"/>
    <x v="41"/>
    <x v="8"/>
    <s v="V009"/>
    <x v="12"/>
    <s v="Monthly Electric Bill"/>
    <x v="4"/>
    <n v="1214"/>
    <x v="0"/>
    <s v="Jatin"/>
  </r>
  <r>
    <x v="42"/>
    <x v="42"/>
    <x v="18"/>
    <s v="V019"/>
    <x v="12"/>
    <s v="Monthly Electric Bill"/>
    <x v="0"/>
    <n v="1187"/>
    <x v="1"/>
    <s v="Manager"/>
  </r>
  <r>
    <x v="43"/>
    <x v="43"/>
    <x v="13"/>
    <s v="V014"/>
    <x v="10"/>
    <s v="Warehouse Rent"/>
    <x v="3"/>
    <n v="2855"/>
    <x v="0"/>
    <s v="Amit"/>
  </r>
  <r>
    <x v="44"/>
    <x v="44"/>
    <x v="7"/>
    <s v="V008"/>
    <x v="6"/>
    <s v="Facebook Ads"/>
    <x v="2"/>
    <n v="1437"/>
    <x v="1"/>
    <s v="Amit"/>
  </r>
  <r>
    <x v="45"/>
    <x v="45"/>
    <x v="19"/>
    <s v="V020"/>
    <x v="3"/>
    <s v="Staff Salary"/>
    <x v="4"/>
    <n v="2403"/>
    <x v="1"/>
    <s v="Manager"/>
  </r>
  <r>
    <x v="46"/>
    <x v="46"/>
    <x v="1"/>
    <s v="V002"/>
    <x v="2"/>
    <s v="Cleaning Supplies"/>
    <x v="2"/>
    <n v="267"/>
    <x v="0"/>
    <s v="Priya"/>
  </r>
  <r>
    <x v="47"/>
    <x v="47"/>
    <x v="13"/>
    <s v="V014"/>
    <x v="7"/>
    <s v="Business Insurance"/>
    <x v="2"/>
    <n v="872"/>
    <x v="0"/>
    <s v="Jatin"/>
  </r>
  <r>
    <x v="48"/>
    <x v="48"/>
    <x v="0"/>
    <s v="V001"/>
    <x v="6"/>
    <s v="Google Ads"/>
    <x v="2"/>
    <n v="991"/>
    <x v="0"/>
    <s v="Priya"/>
  </r>
  <r>
    <x v="49"/>
    <x v="49"/>
    <x v="16"/>
    <s v="V017"/>
    <x v="13"/>
    <s v="Freight Charges"/>
    <x v="1"/>
    <n v="1125"/>
    <x v="0"/>
    <s v="Jatin"/>
  </r>
  <r>
    <x v="50"/>
    <x v="50"/>
    <x v="17"/>
    <s v="V018"/>
    <x v="11"/>
    <s v="Machine Repair"/>
    <x v="2"/>
    <n v="485"/>
    <x v="1"/>
    <s v="Amit"/>
  </r>
  <r>
    <x v="51"/>
    <x v="51"/>
    <x v="9"/>
    <s v="V010"/>
    <x v="1"/>
    <s v="Diesel"/>
    <x v="2"/>
    <n v="306"/>
    <x v="0"/>
    <s v="Manager"/>
  </r>
  <r>
    <x v="52"/>
    <x v="52"/>
    <x v="1"/>
    <s v="V002"/>
    <x v="7"/>
    <s v="Business Insurance"/>
    <x v="0"/>
    <n v="275"/>
    <x v="0"/>
    <s v="Jatin"/>
  </r>
  <r>
    <x v="53"/>
    <x v="53"/>
    <x v="15"/>
    <s v="V016"/>
    <x v="4"/>
    <s v="Bubble Wrap"/>
    <x v="5"/>
    <n v="400"/>
    <x v="0"/>
    <s v="Amit"/>
  </r>
  <r>
    <x v="54"/>
    <x v="54"/>
    <x v="18"/>
    <s v="V019"/>
    <x v="1"/>
    <s v="Diesel"/>
    <x v="1"/>
    <n v="718"/>
    <x v="1"/>
    <s v="Jatin"/>
  </r>
  <r>
    <x v="55"/>
    <x v="55"/>
    <x v="6"/>
    <s v="V007"/>
    <x v="2"/>
    <s v="Cleaning Supplies"/>
    <x v="2"/>
    <n v="54"/>
    <x v="1"/>
    <s v="Priya"/>
  </r>
  <r>
    <x v="56"/>
    <x v="56"/>
    <x v="7"/>
    <s v="V008"/>
    <x v="7"/>
    <s v="Business Insurance"/>
    <x v="3"/>
    <n v="573"/>
    <x v="0"/>
    <s v="Priya"/>
  </r>
  <r>
    <x v="57"/>
    <x v="57"/>
    <x v="5"/>
    <s v="V006"/>
    <x v="5"/>
    <s v="Broadband Bill"/>
    <x v="3"/>
    <n v="254"/>
    <x v="1"/>
    <s v="Priya"/>
  </r>
  <r>
    <x v="58"/>
    <x v="58"/>
    <x v="17"/>
    <s v="V018"/>
    <x v="3"/>
    <s v="Sales Salary"/>
    <x v="1"/>
    <n v="2673"/>
    <x v="0"/>
    <s v="Amit"/>
  </r>
  <r>
    <x v="59"/>
    <x v="59"/>
    <x v="0"/>
    <s v="V001"/>
    <x v="7"/>
    <s v="Business Insurance"/>
    <x v="1"/>
    <n v="493"/>
    <x v="0"/>
    <s v="Jatin"/>
  </r>
  <r>
    <x v="60"/>
    <x v="60"/>
    <x v="17"/>
    <s v="V018"/>
    <x v="3"/>
    <s v="Sales Salary"/>
    <x v="3"/>
    <n v="4809"/>
    <x v="1"/>
    <s v="Priya"/>
  </r>
  <r>
    <x v="61"/>
    <x v="61"/>
    <x v="4"/>
    <s v="V005"/>
    <x v="6"/>
    <s v="Flyers"/>
    <x v="3"/>
    <n v="304"/>
    <x v="1"/>
    <s v="Manager"/>
  </r>
  <r>
    <x v="62"/>
    <x v="62"/>
    <x v="1"/>
    <s v="V002"/>
    <x v="3"/>
    <s v="Staff Salary"/>
    <x v="4"/>
    <n v="4428"/>
    <x v="1"/>
    <s v="Manager"/>
  </r>
  <r>
    <x v="63"/>
    <x v="63"/>
    <x v="7"/>
    <s v="V008"/>
    <x v="11"/>
    <s v="Office Repair"/>
    <x v="1"/>
    <n v="341"/>
    <x v="0"/>
    <s v="Priya"/>
  </r>
  <r>
    <x v="64"/>
    <x v="64"/>
    <x v="4"/>
    <s v="V005"/>
    <x v="10"/>
    <s v="Office Rent"/>
    <x v="4"/>
    <n v="1365"/>
    <x v="1"/>
    <s v="Amit"/>
  </r>
  <r>
    <x v="65"/>
    <x v="65"/>
    <x v="10"/>
    <s v="V011"/>
    <x v="2"/>
    <s v="Misc Expense"/>
    <x v="0"/>
    <n v="323"/>
    <x v="0"/>
    <s v="Priya"/>
  </r>
  <r>
    <x v="66"/>
    <x v="66"/>
    <x v="14"/>
    <s v="V015"/>
    <x v="1"/>
    <s v="Petrol"/>
    <x v="4"/>
    <n v="171"/>
    <x v="0"/>
    <s v="Amit"/>
  </r>
  <r>
    <x v="67"/>
    <x v="67"/>
    <x v="8"/>
    <s v="V009"/>
    <x v="3"/>
    <s v="Sales Salary"/>
    <x v="4"/>
    <n v="4053"/>
    <x v="1"/>
    <s v="Priya"/>
  </r>
  <r>
    <x v="68"/>
    <x v="68"/>
    <x v="19"/>
    <s v="V020"/>
    <x v="11"/>
    <s v="Machine Repair"/>
    <x v="0"/>
    <n v="885"/>
    <x v="0"/>
    <s v="Amit"/>
  </r>
  <r>
    <x v="69"/>
    <x v="69"/>
    <x v="12"/>
    <s v="V013"/>
    <x v="7"/>
    <s v="Business Insurance"/>
    <x v="2"/>
    <n v="54"/>
    <x v="0"/>
    <s v="Manager"/>
  </r>
  <r>
    <x v="70"/>
    <x v="70"/>
    <x v="4"/>
    <s v="V005"/>
    <x v="13"/>
    <s v="Freight Charges"/>
    <x v="5"/>
    <n v="838"/>
    <x v="0"/>
    <s v="Jatin"/>
  </r>
  <r>
    <x v="71"/>
    <x v="71"/>
    <x v="11"/>
    <s v="V012"/>
    <x v="9"/>
    <s v="GST Payment"/>
    <x v="3"/>
    <n v="1247"/>
    <x v="0"/>
    <s v="Manager"/>
  </r>
  <r>
    <x v="72"/>
    <x v="72"/>
    <x v="0"/>
    <s v="V001"/>
    <x v="5"/>
    <s v="Broadband Bill"/>
    <x v="1"/>
    <n v="795"/>
    <x v="0"/>
    <s v="Amit"/>
  </r>
  <r>
    <x v="73"/>
    <x v="73"/>
    <x v="15"/>
    <s v="V016"/>
    <x v="7"/>
    <s v="Business Insurance"/>
    <x v="0"/>
    <n v="444"/>
    <x v="0"/>
    <s v="Manager"/>
  </r>
  <r>
    <x v="74"/>
    <x v="74"/>
    <x v="8"/>
    <s v="V009"/>
    <x v="0"/>
    <s v="Accounting Software"/>
    <x v="1"/>
    <n v="1112"/>
    <x v="0"/>
    <s v="Jatin"/>
  </r>
  <r>
    <x v="75"/>
    <x v="75"/>
    <x v="9"/>
    <s v="V010"/>
    <x v="9"/>
    <s v="GST Payment"/>
    <x v="5"/>
    <n v="1544"/>
    <x v="0"/>
    <s v="Priya"/>
  </r>
  <r>
    <x v="76"/>
    <x v="76"/>
    <x v="3"/>
    <s v="V004"/>
    <x v="6"/>
    <s v="Flyers"/>
    <x v="0"/>
    <n v="992"/>
    <x v="1"/>
    <s v="Priya"/>
  </r>
  <r>
    <x v="77"/>
    <x v="77"/>
    <x v="0"/>
    <s v="V001"/>
    <x v="2"/>
    <s v="Tea &amp; Snacks"/>
    <x v="3"/>
    <n v="272"/>
    <x v="1"/>
    <s v="Jatin"/>
  </r>
  <r>
    <x v="78"/>
    <x v="78"/>
    <x v="15"/>
    <s v="V016"/>
    <x v="11"/>
    <s v="Machine Repair"/>
    <x v="4"/>
    <n v="806"/>
    <x v="0"/>
    <s v="Manager"/>
  </r>
  <r>
    <x v="79"/>
    <x v="79"/>
    <x v="9"/>
    <s v="V010"/>
    <x v="4"/>
    <s v="Bubble Wrap"/>
    <x v="1"/>
    <n v="480"/>
    <x v="0"/>
    <s v="Priya"/>
  </r>
  <r>
    <x v="80"/>
    <x v="80"/>
    <x v="1"/>
    <s v="V002"/>
    <x v="9"/>
    <s v="GST Payment"/>
    <x v="5"/>
    <n v="2316"/>
    <x v="0"/>
    <s v="Priya"/>
  </r>
  <r>
    <x v="81"/>
    <x v="81"/>
    <x v="18"/>
    <s v="V019"/>
    <x v="4"/>
    <s v="Boxes"/>
    <x v="5"/>
    <n v="1110"/>
    <x v="0"/>
    <s v="Manager"/>
  </r>
  <r>
    <x v="82"/>
    <x v="82"/>
    <x v="15"/>
    <s v="V016"/>
    <x v="1"/>
    <s v="Diesel"/>
    <x v="1"/>
    <n v="252"/>
    <x v="1"/>
    <s v="Amit"/>
  </r>
  <r>
    <x v="83"/>
    <x v="83"/>
    <x v="2"/>
    <s v="V003"/>
    <x v="5"/>
    <s v="Broadband Bill"/>
    <x v="3"/>
    <n v="509"/>
    <x v="0"/>
    <s v="Priya"/>
  </r>
  <r>
    <x v="84"/>
    <x v="84"/>
    <x v="5"/>
    <s v="V006"/>
    <x v="3"/>
    <s v="Staff Salary"/>
    <x v="2"/>
    <n v="3734"/>
    <x v="1"/>
    <s v="Amit"/>
  </r>
  <r>
    <x v="85"/>
    <x v="85"/>
    <x v="19"/>
    <s v="V020"/>
    <x v="9"/>
    <s v="Professional Tax"/>
    <x v="0"/>
    <n v="1839"/>
    <x v="0"/>
    <s v="Priya"/>
  </r>
  <r>
    <x v="86"/>
    <x v="86"/>
    <x v="12"/>
    <s v="V013"/>
    <x v="3"/>
    <s v="Sales Salary"/>
    <x v="1"/>
    <n v="3872"/>
    <x v="1"/>
    <s v="Priya"/>
  </r>
  <r>
    <x v="87"/>
    <x v="87"/>
    <x v="18"/>
    <s v="V019"/>
    <x v="4"/>
    <s v="Packing Tape"/>
    <x v="4"/>
    <n v="221"/>
    <x v="1"/>
    <s v="Jatin"/>
  </r>
  <r>
    <x v="88"/>
    <x v="88"/>
    <x v="15"/>
    <s v="V016"/>
    <x v="11"/>
    <s v="Machine Repair"/>
    <x v="4"/>
    <n v="624"/>
    <x v="1"/>
    <s v="Jatin"/>
  </r>
  <r>
    <x v="89"/>
    <x v="89"/>
    <x v="10"/>
    <s v="V011"/>
    <x v="9"/>
    <s v="Professional Tax"/>
    <x v="3"/>
    <n v="748"/>
    <x v="0"/>
    <s v="Amit"/>
  </r>
  <r>
    <x v="90"/>
    <x v="90"/>
    <x v="9"/>
    <s v="V010"/>
    <x v="12"/>
    <s v="Monthly Electric Bill"/>
    <x v="3"/>
    <n v="1168"/>
    <x v="1"/>
    <s v="Jatin"/>
  </r>
  <r>
    <x v="91"/>
    <x v="91"/>
    <x v="5"/>
    <s v="V006"/>
    <x v="11"/>
    <s v="Machine Repair"/>
    <x v="5"/>
    <n v="855"/>
    <x v="0"/>
    <s v="Priya"/>
  </r>
  <r>
    <x v="92"/>
    <x v="92"/>
    <x v="14"/>
    <s v="V015"/>
    <x v="4"/>
    <s v="Bubble Wrap"/>
    <x v="1"/>
    <n v="1112"/>
    <x v="0"/>
    <s v="Manager"/>
  </r>
  <r>
    <x v="93"/>
    <x v="93"/>
    <x v="16"/>
    <s v="V017"/>
    <x v="9"/>
    <s v="GST Payment"/>
    <x v="0"/>
    <n v="1391"/>
    <x v="0"/>
    <s v="Amit"/>
  </r>
  <r>
    <x v="94"/>
    <x v="94"/>
    <x v="3"/>
    <s v="V004"/>
    <x v="5"/>
    <s v="Broadband Bill"/>
    <x v="5"/>
    <n v="751"/>
    <x v="0"/>
    <s v="Amit"/>
  </r>
  <r>
    <x v="95"/>
    <x v="95"/>
    <x v="0"/>
    <s v="V001"/>
    <x v="10"/>
    <s v="Office Rent"/>
    <x v="2"/>
    <n v="1865"/>
    <x v="0"/>
    <s v="Priya"/>
  </r>
  <r>
    <x v="96"/>
    <x v="96"/>
    <x v="6"/>
    <s v="V007"/>
    <x v="12"/>
    <s v="Monthly Electric Bill"/>
    <x v="2"/>
    <n v="653"/>
    <x v="1"/>
    <s v="Priya"/>
  </r>
  <r>
    <x v="97"/>
    <x v="97"/>
    <x v="7"/>
    <s v="V008"/>
    <x v="6"/>
    <s v="Google Ads"/>
    <x v="5"/>
    <n v="379"/>
    <x v="1"/>
    <s v="Priya"/>
  </r>
  <r>
    <x v="98"/>
    <x v="98"/>
    <x v="11"/>
    <s v="V012"/>
    <x v="12"/>
    <s v="Monthly Electric Bill"/>
    <x v="0"/>
    <n v="1492"/>
    <x v="0"/>
    <s v="Amit"/>
  </r>
  <r>
    <x v="99"/>
    <x v="99"/>
    <x v="19"/>
    <s v="V020"/>
    <x v="0"/>
    <s v="Microsoft 365"/>
    <x v="3"/>
    <n v="326"/>
    <x v="0"/>
    <s v="Manager"/>
  </r>
  <r>
    <x v="100"/>
    <x v="100"/>
    <x v="14"/>
    <s v="V015"/>
    <x v="13"/>
    <s v="Freight Charges"/>
    <x v="4"/>
    <n v="1008"/>
    <x v="0"/>
    <s v="Priya"/>
  </r>
  <r>
    <x v="101"/>
    <x v="101"/>
    <x v="4"/>
    <s v="V005"/>
    <x v="0"/>
    <s v="Accounting Software"/>
    <x v="1"/>
    <n v="345"/>
    <x v="0"/>
    <s v="Priya"/>
  </r>
  <r>
    <x v="102"/>
    <x v="102"/>
    <x v="13"/>
    <s v="V014"/>
    <x v="1"/>
    <s v="Diesel"/>
    <x v="0"/>
    <n v="882"/>
    <x v="1"/>
    <s v="Amit"/>
  </r>
  <r>
    <x v="103"/>
    <x v="103"/>
    <x v="8"/>
    <s v="V009"/>
    <x v="6"/>
    <s v="Flyers"/>
    <x v="0"/>
    <n v="506"/>
    <x v="1"/>
    <s v="Priya"/>
  </r>
  <r>
    <x v="104"/>
    <x v="104"/>
    <x v="10"/>
    <s v="V011"/>
    <x v="0"/>
    <s v="CRM Subscription"/>
    <x v="5"/>
    <n v="220"/>
    <x v="0"/>
    <s v="Manager"/>
  </r>
  <r>
    <x v="105"/>
    <x v="105"/>
    <x v="16"/>
    <s v="V017"/>
    <x v="11"/>
    <s v="Machine Repair"/>
    <x v="0"/>
    <n v="289"/>
    <x v="0"/>
    <s v="Amit"/>
  </r>
  <r>
    <x v="106"/>
    <x v="106"/>
    <x v="11"/>
    <s v="V012"/>
    <x v="5"/>
    <s v="Broadband Bill"/>
    <x v="5"/>
    <n v="336"/>
    <x v="1"/>
    <s v="Manager"/>
  </r>
  <r>
    <x v="107"/>
    <x v="107"/>
    <x v="7"/>
    <s v="V008"/>
    <x v="7"/>
    <s v="Business Insurance"/>
    <x v="4"/>
    <n v="380"/>
    <x v="0"/>
    <s v="Jatin"/>
  </r>
  <r>
    <x v="108"/>
    <x v="108"/>
    <x v="7"/>
    <s v="V008"/>
    <x v="5"/>
    <s v="Broadband Bill"/>
    <x v="2"/>
    <n v="473"/>
    <x v="0"/>
    <s v="Manager"/>
  </r>
  <r>
    <x v="109"/>
    <x v="109"/>
    <x v="19"/>
    <s v="V020"/>
    <x v="0"/>
    <s v="Accounting Software"/>
    <x v="2"/>
    <n v="1375"/>
    <x v="1"/>
    <s v="Priya"/>
  </r>
  <r>
    <x v="110"/>
    <x v="110"/>
    <x v="14"/>
    <s v="V015"/>
    <x v="3"/>
    <s v="Sales Salary"/>
    <x v="5"/>
    <n v="3039"/>
    <x v="1"/>
    <s v="Priya"/>
  </r>
  <r>
    <x v="111"/>
    <x v="111"/>
    <x v="5"/>
    <s v="V006"/>
    <x v="6"/>
    <s v="Facebook Ads"/>
    <x v="0"/>
    <n v="213"/>
    <x v="0"/>
    <s v="Priya"/>
  </r>
  <r>
    <x v="112"/>
    <x v="112"/>
    <x v="1"/>
    <s v="V002"/>
    <x v="6"/>
    <s v="Flyers"/>
    <x v="5"/>
    <n v="546"/>
    <x v="1"/>
    <s v="Manager"/>
  </r>
  <r>
    <x v="113"/>
    <x v="113"/>
    <x v="1"/>
    <s v="V002"/>
    <x v="12"/>
    <s v="Monthly Electric Bill"/>
    <x v="1"/>
    <n v="1261"/>
    <x v="0"/>
    <s v="Priya"/>
  </r>
  <r>
    <x v="114"/>
    <x v="114"/>
    <x v="11"/>
    <s v="V012"/>
    <x v="5"/>
    <s v="Broadband Bill"/>
    <x v="5"/>
    <n v="293"/>
    <x v="0"/>
    <s v="Jatin"/>
  </r>
  <r>
    <x v="115"/>
    <x v="115"/>
    <x v="17"/>
    <s v="V018"/>
    <x v="3"/>
    <s v="Staff Salary"/>
    <x v="3"/>
    <n v="4409"/>
    <x v="0"/>
    <s v="Priya"/>
  </r>
  <r>
    <x v="116"/>
    <x v="116"/>
    <x v="7"/>
    <s v="V008"/>
    <x v="13"/>
    <s v="Delivery Charges"/>
    <x v="1"/>
    <n v="449"/>
    <x v="0"/>
    <s v="Amit"/>
  </r>
  <r>
    <x v="117"/>
    <x v="117"/>
    <x v="5"/>
    <s v="V006"/>
    <x v="13"/>
    <s v="Freight Charges"/>
    <x v="2"/>
    <n v="782"/>
    <x v="0"/>
    <s v="Jatin"/>
  </r>
  <r>
    <x v="118"/>
    <x v="118"/>
    <x v="2"/>
    <s v="V003"/>
    <x v="8"/>
    <s v="Files"/>
    <x v="3"/>
    <n v="775"/>
    <x v="0"/>
    <s v="Amit"/>
  </r>
  <r>
    <x v="119"/>
    <x v="119"/>
    <x v="2"/>
    <s v="V003"/>
    <x v="2"/>
    <s v="Misc Expense"/>
    <x v="3"/>
    <n v="573"/>
    <x v="1"/>
    <s v="Priy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F53FAE-EE00-4BA2-8D71-586E16CEAFD1}" name="PivotTable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7">
  <location ref="A3:B7" firstHeaderRow="1" firstDataRow="1" firstDataCol="1"/>
  <pivotFields count="11">
    <pivotField compact="0" outline="0" showAll="0"/>
    <pivotField compact="0" numFmtId="164" outline="0" showAll="0">
      <items count="121">
        <item sd="0" x="0"/>
        <item sd="0"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compact="0" outline="0" showAll="0"/>
    <pivotField compact="0" outline="0" showAll="0"/>
    <pivotField compact="0" outline="0" showAll="0"/>
    <pivotField compact="0" outline="0" showAll="0">
      <items count="7">
        <item h="1" x="1"/>
        <item h="1" x="0"/>
        <item h="1" x="3"/>
        <item x="5"/>
        <item x="2"/>
        <item h="1" x="4"/>
        <item t="default"/>
      </items>
    </pivotField>
    <pivotField dataField="1" compact="0" numFmtId="165" outline="0" showAll="0"/>
    <pivotField compact="0" outline="0" showAll="0"/>
    <pivotField compact="0" outline="0" showAll="0"/>
    <pivotField compact="0"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Row" compact="0" outline="0" showAll="0" defaultSubtotal="0">
      <items count="14">
        <item h="1" x="0"/>
        <item sd="0" x="1"/>
        <item x="2"/>
        <item x="3"/>
        <item h="1" x="4"/>
        <item h="1" x="5"/>
        <item h="1" x="6"/>
        <item h="1" x="7"/>
        <item h="1" x="8"/>
        <item h="1" x="9"/>
        <item h="1" x="10"/>
        <item h="1" x="11"/>
        <item h="1" x="12"/>
        <item h="1" x="13"/>
      </items>
    </pivotField>
  </pivotFields>
  <rowFields count="1">
    <field x="10"/>
  </rowFields>
  <rowItems count="4">
    <i>
      <x v="1"/>
    </i>
    <i>
      <x v="2"/>
    </i>
    <i>
      <x v="3"/>
    </i>
    <i t="grand">
      <x/>
    </i>
  </rowItems>
  <colItems count="1">
    <i/>
  </colItems>
  <dataFields count="1">
    <dataField name="Income" fld="6" baseField="0" baseItem="0" numFmtId="165"/>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75ED72-4D8F-4E91-BB90-D422748F6AE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Top Vendors">
  <location ref="G3:H10" firstHeaderRow="1" firstDataRow="1" firstDataCol="1"/>
  <pivotFields count="12">
    <pivotField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umFmtId="16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axis="axisRow" showAll="0" sortType="descending">
      <items count="21">
        <item x="6"/>
        <item x="10"/>
        <item x="8"/>
        <item x="17"/>
        <item h="1" x="16"/>
        <item x="7"/>
        <item x="3"/>
        <item h="1" x="12"/>
        <item h="1" x="14"/>
        <item h="1" x="2"/>
        <item h="1" x="5"/>
        <item h="1" x="4"/>
        <item h="1" x="15"/>
        <item h="1" x="11"/>
        <item h="1" x="19"/>
        <item h="1" x="13"/>
        <item h="1" x="1"/>
        <item h="1" x="9"/>
        <item h="1" x="0"/>
        <item h="1" x="18"/>
        <item t="default"/>
      </items>
      <autoSortScope>
        <pivotArea dataOnly="0" outline="0" fieldPosition="0">
          <references count="1">
            <reference field="4294967294" count="1" selected="0">
              <x v="0"/>
            </reference>
          </references>
        </pivotArea>
      </autoSortScope>
    </pivotField>
    <pivotField showAll="0"/>
    <pivotField showAll="0">
      <items count="15">
        <item x="12"/>
        <item x="1"/>
        <item x="7"/>
        <item x="5"/>
        <item x="6"/>
        <item h="1" x="2"/>
        <item h="1" x="8"/>
        <item h="1" x="4"/>
        <item h="1" x="10"/>
        <item h="1" x="11"/>
        <item h="1" x="3"/>
        <item h="1" x="0"/>
        <item h="1" x="9"/>
        <item h="1" x="13"/>
        <item t="default"/>
      </items>
    </pivotField>
    <pivotField showAll="0"/>
    <pivotField showAll="0">
      <items count="7">
        <item x="2"/>
        <item x="3"/>
        <item x="4"/>
        <item x="0"/>
        <item x="1"/>
        <item x="5"/>
        <item t="default"/>
      </items>
    </pivotField>
    <pivotField dataField="1" numFmtId="165" showAll="0"/>
    <pivotField showAll="0">
      <items count="3">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7">
    <i>
      <x v="5"/>
    </i>
    <i>
      <x v="6"/>
    </i>
    <i>
      <x v="2"/>
    </i>
    <i>
      <x v="3"/>
    </i>
    <i>
      <x v="1"/>
    </i>
    <i>
      <x/>
    </i>
    <i t="grand">
      <x/>
    </i>
  </rowItems>
  <colItems count="1">
    <i/>
  </colItems>
  <dataFields count="1">
    <dataField name="Expense Amount" fld="7" baseField="2" baseItem="16" numFmtId="165"/>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EF4C20-E567-4E33-9350-25D4BBC461B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ayment Method">
  <location ref="M3:N6" firstHeaderRow="1" firstDataRow="1" firstDataCol="1"/>
  <pivotFields count="11">
    <pivotField showAll="0"/>
    <pivotField numFmtId="16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pivotField showAll="0"/>
    <pivotField showAll="0"/>
    <pivotField axis="axisRow" showAll="0">
      <items count="7">
        <item h="1" x="1"/>
        <item h="1" x="0"/>
        <item h="1" x="3"/>
        <item x="5"/>
        <item x="2"/>
        <item h="1" x="4"/>
        <item t="default"/>
      </items>
    </pivotField>
    <pivotField dataField="1" numFmtId="165" showAll="0"/>
    <pivotField showAll="0"/>
    <pivotField showAll="0"/>
    <pivotField showAll="0" defaultSubtotal="0"/>
    <pivotField showAll="0" defaultSubtotal="0">
      <items count="14">
        <item h="1" x="0"/>
        <item x="1"/>
        <item x="2"/>
        <item x="3"/>
        <item h="1" x="4"/>
        <item h="1" x="5"/>
        <item h="1" x="6"/>
        <item h="1" x="7"/>
        <item h="1" x="8"/>
        <item h="1" x="9"/>
        <item h="1" x="10"/>
        <item h="1" x="11"/>
        <item h="1" x="12"/>
        <item h="1" x="13"/>
      </items>
    </pivotField>
  </pivotFields>
  <rowFields count="1">
    <field x="5"/>
  </rowFields>
  <rowItems count="3">
    <i>
      <x v="3"/>
    </i>
    <i>
      <x v="4"/>
    </i>
    <i t="grand">
      <x/>
    </i>
  </rowItems>
  <colItems count="1">
    <i/>
  </colItems>
  <dataFields count="1">
    <dataField name="Income" fld="6" baseField="5" baseItem="0" numFmtId="165"/>
  </dataFields>
  <chartFormats count="7">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5" count="1" selected="0">
            <x v="0"/>
          </reference>
        </references>
      </pivotArea>
    </chartFormat>
    <chartFormat chart="7" format="10">
      <pivotArea type="data" outline="0" fieldPosition="0">
        <references count="2">
          <reference field="4294967294" count="1" selected="0">
            <x v="0"/>
          </reference>
          <reference field="5" count="1" selected="0">
            <x v="1"/>
          </reference>
        </references>
      </pivotArea>
    </chartFormat>
    <chartFormat chart="7" format="11">
      <pivotArea type="data" outline="0" fieldPosition="0">
        <references count="2">
          <reference field="4294967294" count="1" selected="0">
            <x v="0"/>
          </reference>
          <reference field="5" count="1" selected="0">
            <x v="2"/>
          </reference>
        </references>
      </pivotArea>
    </chartFormat>
    <chartFormat chart="7" format="12">
      <pivotArea type="data" outline="0" fieldPosition="0">
        <references count="2">
          <reference field="4294967294" count="1" selected="0">
            <x v="0"/>
          </reference>
          <reference field="5" count="1" selected="0">
            <x v="3"/>
          </reference>
        </references>
      </pivotArea>
    </chartFormat>
    <chartFormat chart="7" format="13">
      <pivotArea type="data" outline="0" fieldPosition="0">
        <references count="2">
          <reference field="4294967294" count="1" selected="0">
            <x v="0"/>
          </reference>
          <reference field="5" count="1" selected="0">
            <x v="4"/>
          </reference>
        </references>
      </pivotArea>
    </chartFormat>
    <chartFormat chart="7" format="14">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76C9EF-C058-4585-B729-58AE6982AA5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J3:K9" firstHeaderRow="1" firstDataRow="1" firstDataCol="1"/>
  <pivotFields count="12">
    <pivotField showAll="0"/>
    <pivotField numFmtId="16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items count="21">
        <item h="1" x="18"/>
        <item h="1" x="0"/>
        <item h="1" x="9"/>
        <item h="1" x="1"/>
        <item h="1" x="13"/>
        <item h="1" x="19"/>
        <item h="1" x="11"/>
        <item h="1" x="15"/>
        <item h="1" x="4"/>
        <item h="1" x="5"/>
        <item h="1" x="2"/>
        <item h="1" x="14"/>
        <item h="1" x="12"/>
        <item x="3"/>
        <item x="7"/>
        <item h="1" x="16"/>
        <item x="17"/>
        <item x="8"/>
        <item x="10"/>
        <item x="6"/>
        <item t="default"/>
      </items>
    </pivotField>
    <pivotField showAll="0"/>
    <pivotField axis="axisRow" showAll="0">
      <items count="15">
        <item x="12"/>
        <item x="1"/>
        <item x="7"/>
        <item x="5"/>
        <item x="6"/>
        <item h="1" x="2"/>
        <item h="1" x="8"/>
        <item h="1" x="4"/>
        <item h="1" x="10"/>
        <item h="1" x="11"/>
        <item h="1" x="3"/>
        <item h="1" x="0"/>
        <item h="1" x="9"/>
        <item h="1" x="13"/>
        <item t="default"/>
      </items>
    </pivotField>
    <pivotField showAll="0"/>
    <pivotField showAll="0"/>
    <pivotField dataField="1" numFmtId="165" showAll="0"/>
    <pivotField showAll="0"/>
    <pivotField showAll="0"/>
    <pivotField showAll="0" defaultSubtotal="0">
      <items count="368">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6">
    <i>
      <x/>
    </i>
    <i>
      <x v="1"/>
    </i>
    <i>
      <x v="2"/>
    </i>
    <i>
      <x v="3"/>
    </i>
    <i>
      <x v="4"/>
    </i>
    <i t="grand">
      <x/>
    </i>
  </rowItems>
  <colItems count="1">
    <i/>
  </colItems>
  <dataFields count="1">
    <dataField name="Expense" fld="7" baseField="3" baseItem="0" numFmtId="165"/>
  </dataFields>
  <chartFormats count="15">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4" count="1" selected="0">
            <x v="0"/>
          </reference>
        </references>
      </pivotArea>
    </chartFormat>
    <chartFormat chart="5" format="18">
      <pivotArea type="data" outline="0" fieldPosition="0">
        <references count="2">
          <reference field="4294967294" count="1" selected="0">
            <x v="0"/>
          </reference>
          <reference field="4" count="1" selected="0">
            <x v="1"/>
          </reference>
        </references>
      </pivotArea>
    </chartFormat>
    <chartFormat chart="5" format="19">
      <pivotArea type="data" outline="0" fieldPosition="0">
        <references count="2">
          <reference field="4294967294" count="1" selected="0">
            <x v="0"/>
          </reference>
          <reference field="4" count="1" selected="0">
            <x v="2"/>
          </reference>
        </references>
      </pivotArea>
    </chartFormat>
    <chartFormat chart="5" format="20">
      <pivotArea type="data" outline="0" fieldPosition="0">
        <references count="2">
          <reference field="4294967294" count="1" selected="0">
            <x v="0"/>
          </reference>
          <reference field="4" count="1" selected="0">
            <x v="3"/>
          </reference>
        </references>
      </pivotArea>
    </chartFormat>
    <chartFormat chart="5" format="21">
      <pivotArea type="data" outline="0" fieldPosition="0">
        <references count="2">
          <reference field="4294967294" count="1" selected="0">
            <x v="0"/>
          </reference>
          <reference field="4" count="1" selected="0">
            <x v="4"/>
          </reference>
        </references>
      </pivotArea>
    </chartFormat>
    <chartFormat chart="5" format="22">
      <pivotArea type="data" outline="0" fieldPosition="0">
        <references count="2">
          <reference field="4294967294" count="1" selected="0">
            <x v="0"/>
          </reference>
          <reference field="4" count="1" selected="0">
            <x v="5"/>
          </reference>
        </references>
      </pivotArea>
    </chartFormat>
    <chartFormat chart="5" format="23">
      <pivotArea type="data" outline="0" fieldPosition="0">
        <references count="2">
          <reference field="4294967294" count="1" selected="0">
            <x v="0"/>
          </reference>
          <reference field="4" count="1" selected="0">
            <x v="6"/>
          </reference>
        </references>
      </pivotArea>
    </chartFormat>
    <chartFormat chart="5" format="24">
      <pivotArea type="data" outline="0" fieldPosition="0">
        <references count="2">
          <reference field="4294967294" count="1" selected="0">
            <x v="0"/>
          </reference>
          <reference field="4" count="1" selected="0">
            <x v="7"/>
          </reference>
        </references>
      </pivotArea>
    </chartFormat>
    <chartFormat chart="5" format="25">
      <pivotArea type="data" outline="0" fieldPosition="0">
        <references count="2">
          <reference field="4294967294" count="1" selected="0">
            <x v="0"/>
          </reference>
          <reference field="4" count="1" selected="0">
            <x v="8"/>
          </reference>
        </references>
      </pivotArea>
    </chartFormat>
    <chartFormat chart="5" format="26">
      <pivotArea type="data" outline="0" fieldPosition="0">
        <references count="2">
          <reference field="4294967294" count="1" selected="0">
            <x v="0"/>
          </reference>
          <reference field="4" count="1" selected="0">
            <x v="9"/>
          </reference>
        </references>
      </pivotArea>
    </chartFormat>
    <chartFormat chart="5" format="27">
      <pivotArea type="data" outline="0" fieldPosition="0">
        <references count="2">
          <reference field="4294967294" count="1" selected="0">
            <x v="0"/>
          </reference>
          <reference field="4" count="1" selected="0">
            <x v="10"/>
          </reference>
        </references>
      </pivotArea>
    </chartFormat>
    <chartFormat chart="5" format="28">
      <pivotArea type="data" outline="0" fieldPosition="0">
        <references count="2">
          <reference field="4294967294" count="1" selected="0">
            <x v="0"/>
          </reference>
          <reference field="4" count="1" selected="0">
            <x v="11"/>
          </reference>
        </references>
      </pivotArea>
    </chartFormat>
    <chartFormat chart="5" format="29">
      <pivotArea type="data" outline="0" fieldPosition="0">
        <references count="2">
          <reference field="4294967294" count="1" selected="0">
            <x v="0"/>
          </reference>
          <reference field="4" count="1" selected="0">
            <x v="12"/>
          </reference>
        </references>
      </pivotArea>
    </chartFormat>
    <chartFormat chart="5" format="30">
      <pivotArea type="data" outline="0" fieldPosition="0">
        <references count="2">
          <reference field="4294967294" count="1" selected="0">
            <x v="0"/>
          </reference>
          <reference field="4"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6C2FC6-F083-4F73-9672-D5A838B0C23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s">
  <location ref="D3:E13" firstHeaderRow="1" firstDataRow="1" firstDataCol="1"/>
  <pivotFields count="12">
    <pivotField showAll="0"/>
    <pivotField axis="axisRow" numFmtId="16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items count="21">
        <item h="1" x="18"/>
        <item h="1" x="0"/>
        <item h="1" x="9"/>
        <item h="1" x="1"/>
        <item h="1" x="13"/>
        <item h="1" x="19"/>
        <item h="1" x="11"/>
        <item h="1" x="15"/>
        <item h="1" x="4"/>
        <item h="1" x="5"/>
        <item h="1" x="2"/>
        <item h="1" x="14"/>
        <item h="1" x="12"/>
        <item x="3"/>
        <item x="7"/>
        <item h="1" x="16"/>
        <item x="17"/>
        <item x="8"/>
        <item x="10"/>
        <item x="6"/>
        <item t="default"/>
      </items>
    </pivotField>
    <pivotField showAll="0"/>
    <pivotField showAll="0">
      <items count="15">
        <item x="12"/>
        <item x="1"/>
        <item x="7"/>
        <item x="5"/>
        <item x="6"/>
        <item h="1" x="2"/>
        <item h="1" x="8"/>
        <item h="1" x="4"/>
        <item h="1" x="10"/>
        <item h="1" x="11"/>
        <item h="1" x="3"/>
        <item h="1" x="0"/>
        <item h="1" x="9"/>
        <item h="1" x="13"/>
        <item t="default"/>
      </items>
    </pivotField>
    <pivotField showAll="0"/>
    <pivotField showAll="0">
      <items count="7">
        <item x="2"/>
        <item x="3"/>
        <item x="4"/>
        <item x="0"/>
        <item x="1"/>
        <item x="5"/>
        <item t="default"/>
      </items>
    </pivotField>
    <pivotField dataField="1" numFmtId="165" showAll="0"/>
    <pivotField showAll="0"/>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1"/>
    <field x="1"/>
  </rowFields>
  <rowItems count="10">
    <i>
      <x v="1"/>
    </i>
    <i>
      <x v="2"/>
    </i>
    <i>
      <x v="3"/>
    </i>
    <i>
      <x v="4"/>
    </i>
    <i>
      <x v="5"/>
    </i>
    <i>
      <x v="6"/>
    </i>
    <i>
      <x v="8"/>
    </i>
    <i>
      <x v="10"/>
    </i>
    <i>
      <x v="11"/>
    </i>
    <i t="grand">
      <x/>
    </i>
  </rowItems>
  <colItems count="1">
    <i/>
  </colItems>
  <dataFields count="1">
    <dataField name="Expense" fld="7" baseField="10"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_Name" xr10:uid="{A706F81E-CE82-4DF5-A981-A36E104BF178}" sourceName="Vendor Name">
  <pivotTables>
    <pivotTable tabId="8" name="PivotTable2"/>
    <pivotTable tabId="8" name="PivotTable3"/>
    <pivotTable tabId="8" name="PivotTable5"/>
  </pivotTables>
  <data>
    <tabular pivotCacheId="1534236727">
      <items count="20">
        <i x="18"/>
        <i x="0"/>
        <i x="9"/>
        <i x="1"/>
        <i x="13"/>
        <i x="11"/>
        <i x="15"/>
        <i x="4"/>
        <i x="5"/>
        <i x="2"/>
        <i x="14"/>
        <i x="12"/>
        <i x="3" s="1"/>
        <i x="7" s="1"/>
        <i x="17" s="1"/>
        <i x="8" s="1"/>
        <i x="10" s="1"/>
        <i x="6" s="1"/>
        <i x="19" nd="1"/>
        <i x="1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1E51D70-A8E1-4494-B76B-7C15CFE6C859}" sourceName="Category">
  <pivotTables>
    <pivotTable tabId="8" name="PivotTable2"/>
    <pivotTable tabId="8" name="PivotTable3"/>
    <pivotTable tabId="8" name="PivotTable5"/>
  </pivotTables>
  <data>
    <tabular pivotCacheId="1534236727">
      <items count="14">
        <i x="12" s="1"/>
        <i x="1" s="1"/>
        <i x="7" s="1"/>
        <i x="5" s="1"/>
        <i x="6" s="1"/>
        <i x="2"/>
        <i x="4"/>
        <i x="10"/>
        <i x="11"/>
        <i x="3"/>
        <i x="0"/>
        <i x="9"/>
        <i x="13"/>
        <i x="8"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369BC103-147F-4829-80B9-A26D59C45EDE}" sourceName="Months (Date)">
  <pivotTables>
    <pivotTable tabId="8" name="PivotTable1"/>
    <pivotTable tabId="8" name="PivotTable4"/>
  </pivotTables>
  <data>
    <tabular pivotCacheId="99122244">
      <items count="14">
        <i x="1" s="1"/>
        <i x="2" s="1"/>
        <i x="3" s="1"/>
        <i x="4"/>
        <i x="5"/>
        <i x="6"/>
        <i x="7"/>
        <i x="8"/>
        <i x="9"/>
        <i x="10"/>
        <i x="11"/>
        <i x="12"/>
        <i x="0" nd="1"/>
        <i x="1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47F2CF6-84EA-4139-9C0C-9030DBA86878}" sourceName="Payment Method">
  <pivotTables>
    <pivotTable tabId="8" name="PivotTable1"/>
    <pivotTable tabId="8" name="PivotTable4"/>
  </pivotTables>
  <data>
    <tabular pivotCacheId="99122244">
      <items count="6">
        <i x="1"/>
        <i x="0"/>
        <i x="3"/>
        <i x="5" s="1"/>
        <i x="2" s="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 Name" xr10:uid="{62ABF895-835B-4ABC-B216-050423163AB2}" cache="Slicer_Vendor_Name" caption="Vendor Name" startItem="11" style="SlicerStyleOther1" rowHeight="241300"/>
  <slicer name="Category" xr10:uid="{6743F4AD-8802-434F-B763-B5941200A265}" cache="Slicer_Category" caption="Category" style="SlicerStyleOther1" rowHeight="241300"/>
  <slicer name="Months (Date)" xr10:uid="{9EC75E16-C918-4DAF-81C6-38A18322EEBB}" cache="Slicer_Months__Date" caption="Months (Date)" style="SlicerStyleOther1" rowHeight="241300"/>
  <slicer name="Payment Method" xr10:uid="{30F554AB-9831-4EF8-A23B-D437B3C04ADF}" cache="Slicer_Payment_Method" caption="Payment Method"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C54C71-A64A-485A-8DF5-4B25E3597206}" name="Table1" displayName="Table1" ref="A1:I121" totalsRowShown="0" headerRowDxfId="27" dataDxfId="26">
  <autoFilter ref="A1:I121" xr:uid="{28C54C71-A64A-485A-8DF5-4B25E3597206}"/>
  <tableColumns count="9">
    <tableColumn id="1" xr3:uid="{973F2DAF-A6BE-4FF8-9F4B-CF5006EFA774}" name="Invoice No" dataDxfId="25"/>
    <tableColumn id="2" xr3:uid="{3EEE91E2-38C9-4E5E-8910-A7F3CD1648DC}" name="Date" dataDxfId="24"/>
    <tableColumn id="3" xr3:uid="{2DD4AC56-3CDE-441E-A676-A68890151354}" name="Customer" dataDxfId="23"/>
    <tableColumn id="4" xr3:uid="{6FF373D2-B116-48AE-A28E-1CBF8A4AEEDC}" name="Income Category" dataDxfId="22"/>
    <tableColumn id="5" xr3:uid="{C992C256-594C-474D-93AB-F7F91593BA7D}" name="Description" dataDxfId="21"/>
    <tableColumn id="6" xr3:uid="{0BC28BE1-8E32-4B77-82B3-99CA4B607F84}" name="Payment Method" dataDxfId="20"/>
    <tableColumn id="7" xr3:uid="{96D7D763-9CB8-4EC9-901E-063BE1E6F110}" name="Amount" dataDxfId="19"/>
    <tableColumn id="8" xr3:uid="{E44488AA-16EB-47F3-BB8E-A59CE4AF0582}" name="Received By" dataDxfId="18"/>
    <tableColumn id="9" xr3:uid="{283E65E9-6E2E-4A35-88F7-031CA191F1CF}" name="Remarks" dataDxfId="17"/>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EF2CD7-F829-47EF-AC33-31D43BA41CD0}" name="Table2" displayName="Table2" ref="A1:J121" totalsRowShown="0" headerRowDxfId="16" dataDxfId="15">
  <autoFilter ref="A1:J121" xr:uid="{9EEF2CD7-F829-47EF-AC33-31D43BA41CD0}"/>
  <tableColumns count="10">
    <tableColumn id="1" xr3:uid="{82B45CFC-6049-4D6C-A3F7-039BCC2D2684}" name="Expense ID" dataDxfId="14"/>
    <tableColumn id="2" xr3:uid="{AB68AC2F-0E1B-4737-A4AF-31F011621B8E}" name="Date" dataDxfId="13"/>
    <tableColumn id="3" xr3:uid="{11E845F5-5F45-4E74-B281-91721C7B5109}" name="Vendor Name" dataDxfId="12"/>
    <tableColumn id="11" xr3:uid="{BE200CC5-CE91-47A3-A69F-71EE2EA96E43}" name="Vendor ID" dataDxfId="11">
      <calculatedColumnFormula>_xlfn.XLOOKUP(C2,Vendors!$B$2:$B$21,Vendors!$A$2:$A$21)</calculatedColumnFormula>
    </tableColumn>
    <tableColumn id="4" xr3:uid="{1C2E7707-C4A5-43C2-A886-7EF0FA3C6C81}" name="Category" dataDxfId="10"/>
    <tableColumn id="5" xr3:uid="{F96B591C-7D31-45FD-92DA-60CDEBECDBFE}" name="Description" dataDxfId="9"/>
    <tableColumn id="6" xr3:uid="{DF1CE015-6FB1-4578-9DE3-16884E68B545}" name="Payment Method" dataDxfId="8"/>
    <tableColumn id="7" xr3:uid="{E4F27B50-492B-41A6-99F5-4D12405C1A3A}" name="Amount" dataDxfId="7"/>
    <tableColumn id="8" xr3:uid="{19C585B8-C8A6-4C9D-AAA9-ECB9B54256A7}" name="Status" dataDxfId="6"/>
    <tableColumn id="9" xr3:uid="{8416785F-E54A-49D5-9E2F-80D39A310569}" name="Approved By" dataDxfId="5"/>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F0817-45E9-4146-81D6-B385A0274E04}">
  <dimension ref="A1:AD5"/>
  <sheetViews>
    <sheetView showGridLines="0" tabSelected="1" zoomScale="61" zoomScaleNormal="61" workbookViewId="0">
      <selection activeCell="C33" sqref="C33"/>
    </sheetView>
  </sheetViews>
  <sheetFormatPr defaultRowHeight="14.5"/>
  <cols>
    <col min="1" max="1" width="13.1796875" bestFit="1" customWidth="1"/>
    <col min="2" max="2" width="14.26953125" bestFit="1" customWidth="1"/>
  </cols>
  <sheetData>
    <row r="1" spans="1:30" ht="34">
      <c r="A1" s="24" t="s">
        <v>458</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row>
    <row r="2" spans="1:30">
      <c r="A2" s="15"/>
      <c r="B2" s="17"/>
    </row>
    <row r="3" spans="1:30">
      <c r="A3" s="15"/>
      <c r="B3" s="15"/>
    </row>
    <row r="4" spans="1:30" ht="26">
      <c r="A4" s="16"/>
      <c r="B4" s="15"/>
    </row>
    <row r="5" spans="1:30">
      <c r="B5" s="15"/>
    </row>
  </sheetData>
  <mergeCells count="1">
    <mergeCell ref="A1:AD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A18CC-2F2D-4E8F-AEBF-FD48F38AD517}">
  <dimension ref="B4:B8"/>
  <sheetViews>
    <sheetView workbookViewId="0">
      <selection activeCell="D9" sqref="D9"/>
    </sheetView>
  </sheetViews>
  <sheetFormatPr defaultRowHeight="14.5"/>
  <sheetData>
    <row r="4" spans="2:2">
      <c r="B4" s="18" t="s">
        <v>463</v>
      </c>
    </row>
    <row r="5" spans="2:2">
      <c r="B5" s="18" t="s">
        <v>464</v>
      </c>
    </row>
    <row r="6" spans="2:2">
      <c r="B6" s="18" t="s">
        <v>465</v>
      </c>
    </row>
    <row r="7" spans="2:2">
      <c r="B7" s="18" t="s">
        <v>466</v>
      </c>
    </row>
    <row r="8" spans="2:2">
      <c r="B8" s="18" t="s">
        <v>467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7C625-1A10-4EE8-B702-A49E5756E41D}">
  <dimension ref="A1:C2"/>
  <sheetViews>
    <sheetView workbookViewId="0">
      <selection activeCell="C2" sqref="C2"/>
    </sheetView>
  </sheetViews>
  <sheetFormatPr defaultRowHeight="14.5"/>
  <cols>
    <col min="1" max="1" width="11.54296875" bestFit="1" customWidth="1"/>
    <col min="2" max="2" width="12.6328125" bestFit="1" customWidth="1"/>
    <col min="3" max="3" width="9.90625" bestFit="1" customWidth="1"/>
  </cols>
  <sheetData>
    <row r="1" spans="1:3">
      <c r="A1" s="18" t="s">
        <v>459</v>
      </c>
      <c r="B1" s="18" t="s">
        <v>460</v>
      </c>
      <c r="C1" s="18" t="s">
        <v>461</v>
      </c>
    </row>
    <row r="2" spans="1:3">
      <c r="A2" s="14">
        <f>SUM(Table1[Amount])</f>
        <v>130561</v>
      </c>
      <c r="B2" s="19">
        <f>SUM(Expenses!H:H)</f>
        <v>127264</v>
      </c>
      <c r="C2" s="20">
        <f>A2-B2</f>
        <v>3297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B5C68-8712-46CE-801A-89CFB7105A9A}">
  <dimension ref="A1:I121"/>
  <sheetViews>
    <sheetView zoomScale="91" zoomScaleNormal="91" workbookViewId="0">
      <pane ySplit="1" topLeftCell="A2" activePane="bottomLeft" state="frozen"/>
      <selection pane="bottomLeft" activeCell="I3" sqref="I3"/>
    </sheetView>
  </sheetViews>
  <sheetFormatPr defaultRowHeight="14.5"/>
  <cols>
    <col min="1" max="1" width="11.54296875" customWidth="1"/>
    <col min="2" max="2" width="12.81640625" bestFit="1" customWidth="1"/>
    <col min="3" max="3" width="15.453125" bestFit="1" customWidth="1"/>
    <col min="4" max="4" width="16.81640625" customWidth="1"/>
    <col min="5" max="5" width="18.26953125" bestFit="1" customWidth="1"/>
    <col min="6" max="6" width="17.453125" customWidth="1"/>
    <col min="7" max="7" width="9.54296875" customWidth="1"/>
    <col min="8" max="8" width="12.54296875" customWidth="1"/>
    <col min="9" max="9" width="10.1796875" customWidth="1"/>
  </cols>
  <sheetData>
    <row r="1" spans="1:9">
      <c r="A1" s="4" t="s">
        <v>0</v>
      </c>
      <c r="B1" s="4" t="s">
        <v>1</v>
      </c>
      <c r="C1" s="4" t="s">
        <v>2</v>
      </c>
      <c r="D1" s="4" t="s">
        <v>3</v>
      </c>
      <c r="E1" s="4" t="s">
        <v>4</v>
      </c>
      <c r="F1" s="4" t="s">
        <v>5</v>
      </c>
      <c r="G1" s="4" t="s">
        <v>6</v>
      </c>
      <c r="H1" s="4" t="s">
        <v>7</v>
      </c>
      <c r="I1" s="4" t="s">
        <v>8</v>
      </c>
    </row>
    <row r="2" spans="1:9">
      <c r="A2" s="3" t="s">
        <v>9</v>
      </c>
      <c r="B2" s="5">
        <v>46023</v>
      </c>
      <c r="C2" s="3" t="s">
        <v>10</v>
      </c>
      <c r="D2" s="3" t="s">
        <v>11</v>
      </c>
      <c r="E2" s="3" t="s">
        <v>12</v>
      </c>
      <c r="F2" s="3" t="s">
        <v>13</v>
      </c>
      <c r="G2" s="6">
        <v>1017</v>
      </c>
      <c r="H2" s="3" t="s">
        <v>14</v>
      </c>
      <c r="I2" s="3" t="s">
        <v>15</v>
      </c>
    </row>
    <row r="3" spans="1:9">
      <c r="A3" s="3" t="s">
        <v>16</v>
      </c>
      <c r="B3" s="5">
        <v>46026</v>
      </c>
      <c r="C3" s="3" t="s">
        <v>17</v>
      </c>
      <c r="D3" s="3" t="s">
        <v>11</v>
      </c>
      <c r="E3" s="3" t="s">
        <v>18</v>
      </c>
      <c r="F3" s="3" t="s">
        <v>19</v>
      </c>
      <c r="G3" s="6">
        <v>1195</v>
      </c>
      <c r="H3" s="3" t="s">
        <v>20</v>
      </c>
      <c r="I3" s="3" t="s">
        <v>21</v>
      </c>
    </row>
    <row r="4" spans="1:9">
      <c r="A4" s="3" t="s">
        <v>22</v>
      </c>
      <c r="B4" s="5">
        <v>46029</v>
      </c>
      <c r="C4" s="3" t="s">
        <v>23</v>
      </c>
      <c r="D4" s="3" t="s">
        <v>24</v>
      </c>
      <c r="E4" s="3" t="s">
        <v>25</v>
      </c>
      <c r="F4" s="3" t="s">
        <v>13</v>
      </c>
      <c r="G4" s="6">
        <v>86</v>
      </c>
      <c r="H4" s="3" t="s">
        <v>26</v>
      </c>
      <c r="I4" s="3" t="s">
        <v>15</v>
      </c>
    </row>
    <row r="5" spans="1:9">
      <c r="A5" s="3" t="s">
        <v>27</v>
      </c>
      <c r="B5" s="5">
        <v>46032</v>
      </c>
      <c r="C5" s="3" t="s">
        <v>28</v>
      </c>
      <c r="D5" s="3" t="s">
        <v>24</v>
      </c>
      <c r="E5" s="3" t="s">
        <v>25</v>
      </c>
      <c r="F5" s="3" t="s">
        <v>29</v>
      </c>
      <c r="G5" s="6">
        <v>238</v>
      </c>
      <c r="H5" s="3" t="s">
        <v>14</v>
      </c>
      <c r="I5" s="3" t="s">
        <v>30</v>
      </c>
    </row>
    <row r="6" spans="1:9">
      <c r="A6" s="3" t="s">
        <v>31</v>
      </c>
      <c r="B6" s="5">
        <v>46035</v>
      </c>
      <c r="C6" s="3" t="s">
        <v>32</v>
      </c>
      <c r="D6" s="3" t="s">
        <v>33</v>
      </c>
      <c r="E6" s="3" t="s">
        <v>34</v>
      </c>
      <c r="F6" s="3" t="s">
        <v>19</v>
      </c>
      <c r="G6" s="6">
        <v>2955</v>
      </c>
      <c r="H6" s="3" t="s">
        <v>20</v>
      </c>
      <c r="I6" s="3" t="s">
        <v>21</v>
      </c>
    </row>
    <row r="7" spans="1:9">
      <c r="A7" s="3" t="s">
        <v>35</v>
      </c>
      <c r="B7" s="5">
        <v>46038</v>
      </c>
      <c r="C7" s="3" t="s">
        <v>36</v>
      </c>
      <c r="D7" s="3" t="s">
        <v>37</v>
      </c>
      <c r="E7" s="3" t="s">
        <v>38</v>
      </c>
      <c r="F7" s="3" t="s">
        <v>39</v>
      </c>
      <c r="G7" s="6">
        <v>709</v>
      </c>
      <c r="H7" s="3" t="s">
        <v>40</v>
      </c>
      <c r="I7" s="3" t="s">
        <v>41</v>
      </c>
    </row>
    <row r="8" spans="1:9">
      <c r="A8" s="3" t="s">
        <v>42</v>
      </c>
      <c r="B8" s="5">
        <v>46041</v>
      </c>
      <c r="C8" s="3" t="s">
        <v>43</v>
      </c>
      <c r="D8" s="3" t="s">
        <v>37</v>
      </c>
      <c r="E8" s="3" t="s">
        <v>44</v>
      </c>
      <c r="F8" s="3" t="s">
        <v>13</v>
      </c>
      <c r="G8" s="6">
        <v>777</v>
      </c>
      <c r="H8" s="3" t="s">
        <v>40</v>
      </c>
      <c r="I8" s="3" t="s">
        <v>45</v>
      </c>
    </row>
    <row r="9" spans="1:9">
      <c r="A9" s="3" t="s">
        <v>46</v>
      </c>
      <c r="B9" s="5">
        <v>46044</v>
      </c>
      <c r="C9" s="3" t="s">
        <v>23</v>
      </c>
      <c r="D9" s="3" t="s">
        <v>37</v>
      </c>
      <c r="E9" s="3" t="s">
        <v>44</v>
      </c>
      <c r="F9" s="3" t="s">
        <v>13</v>
      </c>
      <c r="G9" s="6">
        <v>570</v>
      </c>
      <c r="H9" s="3" t="s">
        <v>14</v>
      </c>
      <c r="I9" s="3" t="s">
        <v>41</v>
      </c>
    </row>
    <row r="10" spans="1:9">
      <c r="A10" s="3" t="s">
        <v>47</v>
      </c>
      <c r="B10" s="5">
        <v>46047</v>
      </c>
      <c r="C10" s="3" t="s">
        <v>48</v>
      </c>
      <c r="D10" s="3" t="s">
        <v>33</v>
      </c>
      <c r="E10" s="3" t="s">
        <v>49</v>
      </c>
      <c r="F10" s="3" t="s">
        <v>50</v>
      </c>
      <c r="G10" s="6">
        <v>3995</v>
      </c>
      <c r="H10" s="3" t="s">
        <v>20</v>
      </c>
      <c r="I10" s="3" t="s">
        <v>45</v>
      </c>
    </row>
    <row r="11" spans="1:9">
      <c r="A11" s="3" t="s">
        <v>51</v>
      </c>
      <c r="B11" s="5">
        <v>46050</v>
      </c>
      <c r="C11" s="3" t="s">
        <v>52</v>
      </c>
      <c r="D11" s="3" t="s">
        <v>33</v>
      </c>
      <c r="E11" s="3" t="s">
        <v>53</v>
      </c>
      <c r="F11" s="3" t="s">
        <v>19</v>
      </c>
      <c r="G11" s="6">
        <v>4583</v>
      </c>
      <c r="H11" s="3" t="s">
        <v>14</v>
      </c>
      <c r="I11" s="3" t="s">
        <v>41</v>
      </c>
    </row>
    <row r="12" spans="1:9">
      <c r="A12" s="3" t="s">
        <v>54</v>
      </c>
      <c r="B12" s="5">
        <v>46053</v>
      </c>
      <c r="C12" s="3" t="s">
        <v>48</v>
      </c>
      <c r="D12" s="3" t="s">
        <v>37</v>
      </c>
      <c r="E12" s="3" t="s">
        <v>55</v>
      </c>
      <c r="F12" s="3" t="s">
        <v>50</v>
      </c>
      <c r="G12" s="6">
        <v>445</v>
      </c>
      <c r="H12" s="3" t="s">
        <v>56</v>
      </c>
      <c r="I12" s="3" t="s">
        <v>21</v>
      </c>
    </row>
    <row r="13" spans="1:9">
      <c r="A13" s="3" t="s">
        <v>57</v>
      </c>
      <c r="B13" s="5">
        <v>46056</v>
      </c>
      <c r="C13" s="3" t="s">
        <v>32</v>
      </c>
      <c r="D13" s="3" t="s">
        <v>33</v>
      </c>
      <c r="E13" s="3" t="s">
        <v>34</v>
      </c>
      <c r="F13" s="3" t="s">
        <v>58</v>
      </c>
      <c r="G13" s="6">
        <v>5004</v>
      </c>
      <c r="H13" s="3" t="s">
        <v>40</v>
      </c>
      <c r="I13" s="3" t="s">
        <v>30</v>
      </c>
    </row>
    <row r="14" spans="1:9">
      <c r="A14" s="3" t="s">
        <v>59</v>
      </c>
      <c r="B14" s="5">
        <v>46059</v>
      </c>
      <c r="C14" s="3" t="s">
        <v>60</v>
      </c>
      <c r="D14" s="3" t="s">
        <v>61</v>
      </c>
      <c r="E14" s="3" t="s">
        <v>62</v>
      </c>
      <c r="F14" s="3" t="s">
        <v>13</v>
      </c>
      <c r="G14" s="6">
        <v>602</v>
      </c>
      <c r="H14" s="3" t="s">
        <v>20</v>
      </c>
      <c r="I14" s="3" t="s">
        <v>63</v>
      </c>
    </row>
    <row r="15" spans="1:9">
      <c r="A15" s="3" t="s">
        <v>64</v>
      </c>
      <c r="B15" s="5">
        <v>46062</v>
      </c>
      <c r="C15" s="3" t="s">
        <v>23</v>
      </c>
      <c r="D15" s="3" t="s">
        <v>11</v>
      </c>
      <c r="E15" s="3" t="s">
        <v>65</v>
      </c>
      <c r="F15" s="3" t="s">
        <v>13</v>
      </c>
      <c r="G15" s="6">
        <v>1166</v>
      </c>
      <c r="H15" s="3" t="s">
        <v>20</v>
      </c>
      <c r="I15" s="3" t="s">
        <v>41</v>
      </c>
    </row>
    <row r="16" spans="1:9">
      <c r="A16" s="3" t="s">
        <v>66</v>
      </c>
      <c r="B16" s="5">
        <v>46065</v>
      </c>
      <c r="C16" s="3" t="s">
        <v>67</v>
      </c>
      <c r="D16" s="3" t="s">
        <v>33</v>
      </c>
      <c r="E16" s="3" t="s">
        <v>68</v>
      </c>
      <c r="F16" s="3" t="s">
        <v>39</v>
      </c>
      <c r="G16" s="6">
        <v>2885</v>
      </c>
      <c r="H16" s="3" t="s">
        <v>40</v>
      </c>
      <c r="I16" s="3" t="s">
        <v>15</v>
      </c>
    </row>
    <row r="17" spans="1:9">
      <c r="A17" s="3" t="s">
        <v>69</v>
      </c>
      <c r="B17" s="5">
        <v>46068</v>
      </c>
      <c r="C17" s="3" t="s">
        <v>70</v>
      </c>
      <c r="D17" s="3" t="s">
        <v>61</v>
      </c>
      <c r="E17" s="3" t="s">
        <v>71</v>
      </c>
      <c r="F17" s="3" t="s">
        <v>29</v>
      </c>
      <c r="G17" s="6">
        <v>365</v>
      </c>
      <c r="H17" s="3" t="s">
        <v>14</v>
      </c>
      <c r="I17" s="3" t="s">
        <v>41</v>
      </c>
    </row>
    <row r="18" spans="1:9">
      <c r="A18" s="3" t="s">
        <v>72</v>
      </c>
      <c r="B18" s="5">
        <v>46071</v>
      </c>
      <c r="C18" s="3" t="s">
        <v>73</v>
      </c>
      <c r="D18" s="3" t="s">
        <v>33</v>
      </c>
      <c r="E18" s="3" t="s">
        <v>68</v>
      </c>
      <c r="F18" s="3" t="s">
        <v>58</v>
      </c>
      <c r="G18" s="6">
        <v>4502</v>
      </c>
      <c r="H18" s="3" t="s">
        <v>26</v>
      </c>
      <c r="I18" s="3" t="s">
        <v>45</v>
      </c>
    </row>
    <row r="19" spans="1:9">
      <c r="A19" s="3" t="s">
        <v>74</v>
      </c>
      <c r="B19" s="5">
        <v>46074</v>
      </c>
      <c r="C19" s="3" t="s">
        <v>75</v>
      </c>
      <c r="D19" s="3" t="s">
        <v>11</v>
      </c>
      <c r="E19" s="3" t="s">
        <v>76</v>
      </c>
      <c r="F19" s="3" t="s">
        <v>29</v>
      </c>
      <c r="G19" s="6">
        <v>655</v>
      </c>
      <c r="H19" s="3" t="s">
        <v>40</v>
      </c>
      <c r="I19" s="3" t="s">
        <v>21</v>
      </c>
    </row>
    <row r="20" spans="1:9">
      <c r="A20" s="3" t="s">
        <v>77</v>
      </c>
      <c r="B20" s="5">
        <v>46077</v>
      </c>
      <c r="C20" s="3" t="s">
        <v>70</v>
      </c>
      <c r="D20" s="3" t="s">
        <v>11</v>
      </c>
      <c r="E20" s="3" t="s">
        <v>65</v>
      </c>
      <c r="F20" s="3" t="s">
        <v>39</v>
      </c>
      <c r="G20" s="6">
        <v>447</v>
      </c>
      <c r="H20" s="3" t="s">
        <v>26</v>
      </c>
      <c r="I20" s="3" t="s">
        <v>30</v>
      </c>
    </row>
    <row r="21" spans="1:9">
      <c r="A21" s="3" t="s">
        <v>78</v>
      </c>
      <c r="B21" s="5">
        <v>46080</v>
      </c>
      <c r="C21" s="3" t="s">
        <v>70</v>
      </c>
      <c r="D21" s="3" t="s">
        <v>24</v>
      </c>
      <c r="E21" s="3" t="s">
        <v>25</v>
      </c>
      <c r="F21" s="3" t="s">
        <v>29</v>
      </c>
      <c r="G21" s="6">
        <v>80</v>
      </c>
      <c r="H21" s="3" t="s">
        <v>26</v>
      </c>
      <c r="I21" s="3" t="s">
        <v>45</v>
      </c>
    </row>
    <row r="22" spans="1:9">
      <c r="A22" s="3" t="s">
        <v>79</v>
      </c>
      <c r="B22" s="5">
        <v>46083</v>
      </c>
      <c r="C22" s="3" t="s">
        <v>80</v>
      </c>
      <c r="D22" s="3" t="s">
        <v>33</v>
      </c>
      <c r="E22" s="3" t="s">
        <v>68</v>
      </c>
      <c r="F22" s="3" t="s">
        <v>58</v>
      </c>
      <c r="G22" s="6">
        <v>4371</v>
      </c>
      <c r="H22" s="3" t="s">
        <v>20</v>
      </c>
      <c r="I22" s="3" t="s">
        <v>21</v>
      </c>
    </row>
    <row r="23" spans="1:9">
      <c r="A23" s="3" t="s">
        <v>81</v>
      </c>
      <c r="B23" s="5">
        <v>46086</v>
      </c>
      <c r="C23" s="3" t="s">
        <v>60</v>
      </c>
      <c r="D23" s="3" t="s">
        <v>37</v>
      </c>
      <c r="E23" s="3" t="s">
        <v>38</v>
      </c>
      <c r="F23" s="3" t="s">
        <v>39</v>
      </c>
      <c r="G23" s="6">
        <v>512</v>
      </c>
      <c r="H23" s="3" t="s">
        <v>56</v>
      </c>
      <c r="I23" s="3" t="s">
        <v>15</v>
      </c>
    </row>
    <row r="24" spans="1:9">
      <c r="A24" s="3" t="s">
        <v>82</v>
      </c>
      <c r="B24" s="5">
        <v>46089</v>
      </c>
      <c r="C24" s="3" t="s">
        <v>83</v>
      </c>
      <c r="D24" s="3" t="s">
        <v>61</v>
      </c>
      <c r="E24" s="3" t="s">
        <v>62</v>
      </c>
      <c r="F24" s="3" t="s">
        <v>39</v>
      </c>
      <c r="G24" s="6">
        <v>345</v>
      </c>
      <c r="H24" s="3" t="s">
        <v>20</v>
      </c>
      <c r="I24" s="3" t="s">
        <v>21</v>
      </c>
    </row>
    <row r="25" spans="1:9">
      <c r="A25" s="3" t="s">
        <v>84</v>
      </c>
      <c r="B25" s="5">
        <v>46092</v>
      </c>
      <c r="C25" s="3" t="s">
        <v>85</v>
      </c>
      <c r="D25" s="3" t="s">
        <v>61</v>
      </c>
      <c r="E25" s="3" t="s">
        <v>71</v>
      </c>
      <c r="F25" s="3" t="s">
        <v>50</v>
      </c>
      <c r="G25" s="6">
        <v>514</v>
      </c>
      <c r="H25" s="3" t="s">
        <v>14</v>
      </c>
      <c r="I25" s="3" t="s">
        <v>15</v>
      </c>
    </row>
    <row r="26" spans="1:9">
      <c r="A26" s="3" t="s">
        <v>86</v>
      </c>
      <c r="B26" s="5">
        <v>46095</v>
      </c>
      <c r="C26" s="3" t="s">
        <v>87</v>
      </c>
      <c r="D26" s="3" t="s">
        <v>61</v>
      </c>
      <c r="E26" s="3" t="s">
        <v>71</v>
      </c>
      <c r="F26" s="3" t="s">
        <v>39</v>
      </c>
      <c r="G26" s="6">
        <v>455</v>
      </c>
      <c r="H26" s="3" t="s">
        <v>26</v>
      </c>
      <c r="I26" s="3" t="s">
        <v>30</v>
      </c>
    </row>
    <row r="27" spans="1:9">
      <c r="A27" s="3" t="s">
        <v>88</v>
      </c>
      <c r="B27" s="5">
        <v>46098</v>
      </c>
      <c r="C27" s="3" t="s">
        <v>23</v>
      </c>
      <c r="D27" s="3" t="s">
        <v>61</v>
      </c>
      <c r="E27" s="3" t="s">
        <v>71</v>
      </c>
      <c r="F27" s="3" t="s">
        <v>19</v>
      </c>
      <c r="G27" s="6">
        <v>665</v>
      </c>
      <c r="H27" s="3" t="s">
        <v>56</v>
      </c>
      <c r="I27" s="3" t="s">
        <v>41</v>
      </c>
    </row>
    <row r="28" spans="1:9">
      <c r="A28" s="3" t="s">
        <v>89</v>
      </c>
      <c r="B28" s="5">
        <v>46101</v>
      </c>
      <c r="C28" s="3" t="s">
        <v>90</v>
      </c>
      <c r="D28" s="3" t="s">
        <v>24</v>
      </c>
      <c r="E28" s="3" t="s">
        <v>25</v>
      </c>
      <c r="F28" s="3" t="s">
        <v>19</v>
      </c>
      <c r="G28" s="6">
        <v>96</v>
      </c>
      <c r="H28" s="3" t="s">
        <v>14</v>
      </c>
      <c r="I28" s="3" t="s">
        <v>41</v>
      </c>
    </row>
    <row r="29" spans="1:9">
      <c r="A29" s="3" t="s">
        <v>91</v>
      </c>
      <c r="B29" s="5">
        <v>46104</v>
      </c>
      <c r="C29" s="3" t="s">
        <v>92</v>
      </c>
      <c r="D29" s="3" t="s">
        <v>11</v>
      </c>
      <c r="E29" s="3" t="s">
        <v>76</v>
      </c>
      <c r="F29" s="3" t="s">
        <v>50</v>
      </c>
      <c r="G29" s="6">
        <v>414</v>
      </c>
      <c r="H29" s="3" t="s">
        <v>26</v>
      </c>
      <c r="I29" s="3" t="s">
        <v>15</v>
      </c>
    </row>
    <row r="30" spans="1:9">
      <c r="A30" s="3" t="s">
        <v>93</v>
      </c>
      <c r="B30" s="5">
        <v>46107</v>
      </c>
      <c r="C30" s="3" t="s">
        <v>70</v>
      </c>
      <c r="D30" s="3" t="s">
        <v>37</v>
      </c>
      <c r="E30" s="3" t="s">
        <v>38</v>
      </c>
      <c r="F30" s="3" t="s">
        <v>19</v>
      </c>
      <c r="G30" s="6">
        <v>414</v>
      </c>
      <c r="H30" s="3" t="s">
        <v>20</v>
      </c>
      <c r="I30" s="3" t="s">
        <v>15</v>
      </c>
    </row>
    <row r="31" spans="1:9">
      <c r="A31" s="3" t="s">
        <v>94</v>
      </c>
      <c r="B31" s="5">
        <v>46110</v>
      </c>
      <c r="C31" s="3" t="s">
        <v>73</v>
      </c>
      <c r="D31" s="3" t="s">
        <v>61</v>
      </c>
      <c r="E31" s="3" t="s">
        <v>71</v>
      </c>
      <c r="F31" s="3" t="s">
        <v>13</v>
      </c>
      <c r="G31" s="6">
        <v>234</v>
      </c>
      <c r="H31" s="3" t="s">
        <v>40</v>
      </c>
      <c r="I31" s="3" t="s">
        <v>41</v>
      </c>
    </row>
    <row r="32" spans="1:9">
      <c r="A32" s="3" t="s">
        <v>95</v>
      </c>
      <c r="B32" s="5">
        <v>46113</v>
      </c>
      <c r="C32" s="3" t="s">
        <v>67</v>
      </c>
      <c r="D32" s="3" t="s">
        <v>33</v>
      </c>
      <c r="E32" s="3" t="s">
        <v>53</v>
      </c>
      <c r="F32" s="3" t="s">
        <v>19</v>
      </c>
      <c r="G32" s="6">
        <v>2620</v>
      </c>
      <c r="H32" s="3" t="s">
        <v>40</v>
      </c>
      <c r="I32" s="3" t="s">
        <v>41</v>
      </c>
    </row>
    <row r="33" spans="1:9">
      <c r="A33" s="3" t="s">
        <v>96</v>
      </c>
      <c r="B33" s="5">
        <v>46116</v>
      </c>
      <c r="C33" s="3" t="s">
        <v>97</v>
      </c>
      <c r="D33" s="3" t="s">
        <v>24</v>
      </c>
      <c r="E33" s="3" t="s">
        <v>25</v>
      </c>
      <c r="F33" s="3" t="s">
        <v>29</v>
      </c>
      <c r="G33" s="6">
        <v>197</v>
      </c>
      <c r="H33" s="3" t="s">
        <v>14</v>
      </c>
      <c r="I33" s="3" t="s">
        <v>30</v>
      </c>
    </row>
    <row r="34" spans="1:9">
      <c r="A34" s="3" t="s">
        <v>98</v>
      </c>
      <c r="B34" s="5">
        <v>46119</v>
      </c>
      <c r="C34" s="3" t="s">
        <v>75</v>
      </c>
      <c r="D34" s="3" t="s">
        <v>61</v>
      </c>
      <c r="E34" s="3" t="s">
        <v>71</v>
      </c>
      <c r="F34" s="3" t="s">
        <v>29</v>
      </c>
      <c r="G34" s="6">
        <v>555</v>
      </c>
      <c r="H34" s="3" t="s">
        <v>14</v>
      </c>
      <c r="I34" s="3" t="s">
        <v>41</v>
      </c>
    </row>
    <row r="35" spans="1:9">
      <c r="A35" s="3" t="s">
        <v>99</v>
      </c>
      <c r="B35" s="5">
        <v>46122</v>
      </c>
      <c r="C35" s="3" t="s">
        <v>97</v>
      </c>
      <c r="D35" s="3" t="s">
        <v>37</v>
      </c>
      <c r="E35" s="3" t="s">
        <v>44</v>
      </c>
      <c r="F35" s="3" t="s">
        <v>39</v>
      </c>
      <c r="G35" s="6">
        <v>456</v>
      </c>
      <c r="H35" s="3" t="s">
        <v>40</v>
      </c>
      <c r="I35" s="3" t="s">
        <v>21</v>
      </c>
    </row>
    <row r="36" spans="1:9">
      <c r="A36" s="3" t="s">
        <v>100</v>
      </c>
      <c r="B36" s="5">
        <v>46125</v>
      </c>
      <c r="C36" s="3" t="s">
        <v>101</v>
      </c>
      <c r="D36" s="3" t="s">
        <v>37</v>
      </c>
      <c r="E36" s="3" t="s">
        <v>38</v>
      </c>
      <c r="F36" s="3" t="s">
        <v>58</v>
      </c>
      <c r="G36" s="6">
        <v>661</v>
      </c>
      <c r="H36" s="3" t="s">
        <v>56</v>
      </c>
      <c r="I36" s="3" t="s">
        <v>21</v>
      </c>
    </row>
    <row r="37" spans="1:9">
      <c r="A37" s="3" t="s">
        <v>102</v>
      </c>
      <c r="B37" s="5">
        <v>46128</v>
      </c>
      <c r="C37" s="3" t="s">
        <v>103</v>
      </c>
      <c r="D37" s="3" t="s">
        <v>11</v>
      </c>
      <c r="E37" s="3" t="s">
        <v>18</v>
      </c>
      <c r="F37" s="3" t="s">
        <v>39</v>
      </c>
      <c r="G37" s="6">
        <v>827</v>
      </c>
      <c r="H37" s="3" t="s">
        <v>20</v>
      </c>
      <c r="I37" s="3" t="s">
        <v>15</v>
      </c>
    </row>
    <row r="38" spans="1:9">
      <c r="A38" s="3" t="s">
        <v>104</v>
      </c>
      <c r="B38" s="5">
        <v>46131</v>
      </c>
      <c r="C38" s="3" t="s">
        <v>105</v>
      </c>
      <c r="D38" s="3" t="s">
        <v>37</v>
      </c>
      <c r="E38" s="3" t="s">
        <v>38</v>
      </c>
      <c r="F38" s="3" t="s">
        <v>19</v>
      </c>
      <c r="G38" s="6">
        <v>438</v>
      </c>
      <c r="H38" s="3" t="s">
        <v>40</v>
      </c>
      <c r="I38" s="3" t="s">
        <v>15</v>
      </c>
    </row>
    <row r="39" spans="1:9">
      <c r="A39" s="3" t="s">
        <v>106</v>
      </c>
      <c r="B39" s="5">
        <v>46134</v>
      </c>
      <c r="C39" s="3" t="s">
        <v>32</v>
      </c>
      <c r="D39" s="3" t="s">
        <v>33</v>
      </c>
      <c r="E39" s="3" t="s">
        <v>34</v>
      </c>
      <c r="F39" s="3" t="s">
        <v>58</v>
      </c>
      <c r="G39" s="6">
        <v>4436</v>
      </c>
      <c r="H39" s="3" t="s">
        <v>40</v>
      </c>
      <c r="I39" s="3" t="s">
        <v>45</v>
      </c>
    </row>
    <row r="40" spans="1:9">
      <c r="A40" s="3" t="s">
        <v>107</v>
      </c>
      <c r="B40" s="5">
        <v>46137</v>
      </c>
      <c r="C40" s="3" t="s">
        <v>108</v>
      </c>
      <c r="D40" s="3" t="s">
        <v>37</v>
      </c>
      <c r="E40" s="3" t="s">
        <v>38</v>
      </c>
      <c r="F40" s="3" t="s">
        <v>19</v>
      </c>
      <c r="G40" s="6">
        <v>268</v>
      </c>
      <c r="H40" s="3" t="s">
        <v>26</v>
      </c>
      <c r="I40" s="3" t="s">
        <v>21</v>
      </c>
    </row>
    <row r="41" spans="1:9">
      <c r="A41" s="3" t="s">
        <v>109</v>
      </c>
      <c r="B41" s="5">
        <v>46140</v>
      </c>
      <c r="C41" s="3" t="s">
        <v>110</v>
      </c>
      <c r="D41" s="3" t="s">
        <v>24</v>
      </c>
      <c r="E41" s="3" t="s">
        <v>25</v>
      </c>
      <c r="F41" s="3" t="s">
        <v>29</v>
      </c>
      <c r="G41" s="6">
        <v>215</v>
      </c>
      <c r="H41" s="3" t="s">
        <v>40</v>
      </c>
      <c r="I41" s="3" t="s">
        <v>41</v>
      </c>
    </row>
    <row r="42" spans="1:9">
      <c r="A42" s="3" t="s">
        <v>111</v>
      </c>
      <c r="B42" s="5">
        <v>46143</v>
      </c>
      <c r="C42" s="3" t="s">
        <v>112</v>
      </c>
      <c r="D42" s="3" t="s">
        <v>33</v>
      </c>
      <c r="E42" s="3" t="s">
        <v>68</v>
      </c>
      <c r="F42" s="3" t="s">
        <v>50</v>
      </c>
      <c r="G42" s="6">
        <v>6164</v>
      </c>
      <c r="H42" s="3" t="s">
        <v>56</v>
      </c>
      <c r="I42" s="3" t="s">
        <v>15</v>
      </c>
    </row>
    <row r="43" spans="1:9">
      <c r="A43" s="3" t="s">
        <v>113</v>
      </c>
      <c r="B43" s="5">
        <v>46146</v>
      </c>
      <c r="C43" s="3" t="s">
        <v>114</v>
      </c>
      <c r="D43" s="3" t="s">
        <v>11</v>
      </c>
      <c r="E43" s="3" t="s">
        <v>76</v>
      </c>
      <c r="F43" s="3" t="s">
        <v>50</v>
      </c>
      <c r="G43" s="6">
        <v>591</v>
      </c>
      <c r="H43" s="3" t="s">
        <v>20</v>
      </c>
      <c r="I43" s="3" t="s">
        <v>21</v>
      </c>
    </row>
    <row r="44" spans="1:9">
      <c r="A44" s="3" t="s">
        <v>115</v>
      </c>
      <c r="B44" s="5">
        <v>46149</v>
      </c>
      <c r="C44" s="3" t="s">
        <v>116</v>
      </c>
      <c r="D44" s="3" t="s">
        <v>24</v>
      </c>
      <c r="E44" s="3" t="s">
        <v>25</v>
      </c>
      <c r="F44" s="3" t="s">
        <v>50</v>
      </c>
      <c r="G44" s="6">
        <v>83</v>
      </c>
      <c r="H44" s="3" t="s">
        <v>14</v>
      </c>
      <c r="I44" s="3" t="s">
        <v>30</v>
      </c>
    </row>
    <row r="45" spans="1:9">
      <c r="A45" s="3" t="s">
        <v>117</v>
      </c>
      <c r="B45" s="5">
        <v>46152</v>
      </c>
      <c r="C45" s="3" t="s">
        <v>67</v>
      </c>
      <c r="D45" s="3" t="s">
        <v>11</v>
      </c>
      <c r="E45" s="3" t="s">
        <v>12</v>
      </c>
      <c r="F45" s="3" t="s">
        <v>39</v>
      </c>
      <c r="G45" s="6">
        <v>610</v>
      </c>
      <c r="H45" s="3" t="s">
        <v>20</v>
      </c>
      <c r="I45" s="3" t="s">
        <v>30</v>
      </c>
    </row>
    <row r="46" spans="1:9">
      <c r="A46" s="3" t="s">
        <v>118</v>
      </c>
      <c r="B46" s="5">
        <v>46155</v>
      </c>
      <c r="C46" s="3" t="s">
        <v>119</v>
      </c>
      <c r="D46" s="3" t="s">
        <v>61</v>
      </c>
      <c r="E46" s="3" t="s">
        <v>71</v>
      </c>
      <c r="F46" s="3" t="s">
        <v>58</v>
      </c>
      <c r="G46" s="6">
        <v>682</v>
      </c>
      <c r="H46" s="3" t="s">
        <v>20</v>
      </c>
      <c r="I46" s="3" t="s">
        <v>30</v>
      </c>
    </row>
    <row r="47" spans="1:9">
      <c r="A47" s="3" t="s">
        <v>120</v>
      </c>
      <c r="B47" s="5">
        <v>46158</v>
      </c>
      <c r="C47" s="3" t="s">
        <v>121</v>
      </c>
      <c r="D47" s="3" t="s">
        <v>61</v>
      </c>
      <c r="E47" s="3" t="s">
        <v>62</v>
      </c>
      <c r="F47" s="3" t="s">
        <v>29</v>
      </c>
      <c r="G47" s="6">
        <v>213</v>
      </c>
      <c r="H47" s="3" t="s">
        <v>40</v>
      </c>
      <c r="I47" s="3" t="s">
        <v>41</v>
      </c>
    </row>
    <row r="48" spans="1:9">
      <c r="A48" s="3" t="s">
        <v>122</v>
      </c>
      <c r="B48" s="5">
        <v>46161</v>
      </c>
      <c r="C48" s="3" t="s">
        <v>67</v>
      </c>
      <c r="D48" s="3" t="s">
        <v>24</v>
      </c>
      <c r="E48" s="3" t="s">
        <v>25</v>
      </c>
      <c r="F48" s="3" t="s">
        <v>19</v>
      </c>
      <c r="G48" s="6">
        <v>110</v>
      </c>
      <c r="H48" s="3" t="s">
        <v>20</v>
      </c>
      <c r="I48" s="3" t="s">
        <v>21</v>
      </c>
    </row>
    <row r="49" spans="1:9">
      <c r="A49" s="3" t="s">
        <v>123</v>
      </c>
      <c r="B49" s="5">
        <v>46164</v>
      </c>
      <c r="C49" s="3" t="s">
        <v>124</v>
      </c>
      <c r="D49" s="3" t="s">
        <v>37</v>
      </c>
      <c r="E49" s="3" t="s">
        <v>38</v>
      </c>
      <c r="F49" s="3" t="s">
        <v>29</v>
      </c>
      <c r="G49" s="6">
        <v>434</v>
      </c>
      <c r="H49" s="3" t="s">
        <v>40</v>
      </c>
      <c r="I49" s="3" t="s">
        <v>15</v>
      </c>
    </row>
    <row r="50" spans="1:9">
      <c r="A50" s="3" t="s">
        <v>125</v>
      </c>
      <c r="B50" s="5">
        <v>46167</v>
      </c>
      <c r="C50" s="3" t="s">
        <v>126</v>
      </c>
      <c r="D50" s="3" t="s">
        <v>37</v>
      </c>
      <c r="E50" s="3" t="s">
        <v>44</v>
      </c>
      <c r="F50" s="3" t="s">
        <v>19</v>
      </c>
      <c r="G50" s="6">
        <v>529</v>
      </c>
      <c r="H50" s="3" t="s">
        <v>40</v>
      </c>
      <c r="I50" s="3" t="s">
        <v>15</v>
      </c>
    </row>
    <row r="51" spans="1:9">
      <c r="A51" s="3" t="s">
        <v>127</v>
      </c>
      <c r="B51" s="5">
        <v>46170</v>
      </c>
      <c r="C51" s="3" t="s">
        <v>70</v>
      </c>
      <c r="D51" s="3" t="s">
        <v>37</v>
      </c>
      <c r="E51" s="3" t="s">
        <v>44</v>
      </c>
      <c r="F51" s="3" t="s">
        <v>29</v>
      </c>
      <c r="G51" s="6">
        <v>715</v>
      </c>
      <c r="H51" s="3" t="s">
        <v>56</v>
      </c>
      <c r="I51" s="3" t="s">
        <v>15</v>
      </c>
    </row>
    <row r="52" spans="1:9">
      <c r="A52" s="3" t="s">
        <v>128</v>
      </c>
      <c r="B52" s="5">
        <v>46173</v>
      </c>
      <c r="C52" s="3" t="s">
        <v>43</v>
      </c>
      <c r="D52" s="3" t="s">
        <v>37</v>
      </c>
      <c r="E52" s="3" t="s">
        <v>55</v>
      </c>
      <c r="F52" s="3" t="s">
        <v>13</v>
      </c>
      <c r="G52" s="6">
        <v>865</v>
      </c>
      <c r="H52" s="3" t="s">
        <v>40</v>
      </c>
      <c r="I52" s="3" t="s">
        <v>41</v>
      </c>
    </row>
    <row r="53" spans="1:9">
      <c r="A53" s="3" t="s">
        <v>129</v>
      </c>
      <c r="B53" s="5">
        <v>46176</v>
      </c>
      <c r="C53" s="3" t="s">
        <v>90</v>
      </c>
      <c r="D53" s="3" t="s">
        <v>37</v>
      </c>
      <c r="E53" s="3" t="s">
        <v>38</v>
      </c>
      <c r="F53" s="3" t="s">
        <v>50</v>
      </c>
      <c r="G53" s="6">
        <v>260</v>
      </c>
      <c r="H53" s="3" t="s">
        <v>26</v>
      </c>
      <c r="I53" s="3" t="s">
        <v>15</v>
      </c>
    </row>
    <row r="54" spans="1:9">
      <c r="A54" s="3" t="s">
        <v>130</v>
      </c>
      <c r="B54" s="5">
        <v>46179</v>
      </c>
      <c r="C54" s="3" t="s">
        <v>75</v>
      </c>
      <c r="D54" s="3" t="s">
        <v>61</v>
      </c>
      <c r="E54" s="3" t="s">
        <v>62</v>
      </c>
      <c r="F54" s="3" t="s">
        <v>19</v>
      </c>
      <c r="G54" s="6">
        <v>635</v>
      </c>
      <c r="H54" s="3" t="s">
        <v>56</v>
      </c>
      <c r="I54" s="3" t="s">
        <v>30</v>
      </c>
    </row>
    <row r="55" spans="1:9">
      <c r="A55" s="3" t="s">
        <v>131</v>
      </c>
      <c r="B55" s="5">
        <v>46182</v>
      </c>
      <c r="C55" s="3" t="s">
        <v>92</v>
      </c>
      <c r="D55" s="3" t="s">
        <v>11</v>
      </c>
      <c r="E55" s="3" t="s">
        <v>65</v>
      </c>
      <c r="F55" s="3" t="s">
        <v>29</v>
      </c>
      <c r="G55" s="6">
        <v>780</v>
      </c>
      <c r="H55" s="3" t="s">
        <v>40</v>
      </c>
      <c r="I55" s="3" t="s">
        <v>45</v>
      </c>
    </row>
    <row r="56" spans="1:9">
      <c r="A56" s="3" t="s">
        <v>132</v>
      </c>
      <c r="B56" s="5">
        <v>46185</v>
      </c>
      <c r="C56" s="3" t="s">
        <v>133</v>
      </c>
      <c r="D56" s="3" t="s">
        <v>11</v>
      </c>
      <c r="E56" s="3" t="s">
        <v>18</v>
      </c>
      <c r="F56" s="3" t="s">
        <v>29</v>
      </c>
      <c r="G56" s="6">
        <v>462</v>
      </c>
      <c r="H56" s="3" t="s">
        <v>26</v>
      </c>
      <c r="I56" s="3" t="s">
        <v>21</v>
      </c>
    </row>
    <row r="57" spans="1:9">
      <c r="A57" s="3" t="s">
        <v>134</v>
      </c>
      <c r="B57" s="5">
        <v>46188</v>
      </c>
      <c r="C57" s="3" t="s">
        <v>135</v>
      </c>
      <c r="D57" s="3" t="s">
        <v>24</v>
      </c>
      <c r="E57" s="3" t="s">
        <v>25</v>
      </c>
      <c r="F57" s="3" t="s">
        <v>50</v>
      </c>
      <c r="G57" s="6">
        <v>139</v>
      </c>
      <c r="H57" s="3" t="s">
        <v>26</v>
      </c>
      <c r="I57" s="3" t="s">
        <v>41</v>
      </c>
    </row>
    <row r="58" spans="1:9">
      <c r="A58" s="3" t="s">
        <v>136</v>
      </c>
      <c r="B58" s="5">
        <v>46191</v>
      </c>
      <c r="C58" s="3" t="s">
        <v>133</v>
      </c>
      <c r="D58" s="3" t="s">
        <v>61</v>
      </c>
      <c r="E58" s="3" t="s">
        <v>62</v>
      </c>
      <c r="F58" s="3" t="s">
        <v>29</v>
      </c>
      <c r="G58" s="6">
        <v>427</v>
      </c>
      <c r="H58" s="3" t="s">
        <v>40</v>
      </c>
      <c r="I58" s="3" t="s">
        <v>45</v>
      </c>
    </row>
    <row r="59" spans="1:9">
      <c r="A59" s="3" t="s">
        <v>137</v>
      </c>
      <c r="B59" s="5">
        <v>46194</v>
      </c>
      <c r="C59" s="3" t="s">
        <v>48</v>
      </c>
      <c r="D59" s="3" t="s">
        <v>33</v>
      </c>
      <c r="E59" s="3" t="s">
        <v>49</v>
      </c>
      <c r="F59" s="3" t="s">
        <v>39</v>
      </c>
      <c r="G59" s="6">
        <v>2610</v>
      </c>
      <c r="H59" s="3" t="s">
        <v>40</v>
      </c>
      <c r="I59" s="3" t="s">
        <v>45</v>
      </c>
    </row>
    <row r="60" spans="1:9">
      <c r="A60" s="3" t="s">
        <v>138</v>
      </c>
      <c r="B60" s="5">
        <v>46197</v>
      </c>
      <c r="C60" s="3" t="s">
        <v>139</v>
      </c>
      <c r="D60" s="3" t="s">
        <v>24</v>
      </c>
      <c r="E60" s="3" t="s">
        <v>25</v>
      </c>
      <c r="F60" s="3" t="s">
        <v>58</v>
      </c>
      <c r="G60" s="6">
        <v>196</v>
      </c>
      <c r="H60" s="3" t="s">
        <v>14</v>
      </c>
      <c r="I60" s="3" t="s">
        <v>41</v>
      </c>
    </row>
    <row r="61" spans="1:9">
      <c r="A61" s="3" t="s">
        <v>140</v>
      </c>
      <c r="B61" s="5">
        <v>46200</v>
      </c>
      <c r="C61" s="3" t="s">
        <v>141</v>
      </c>
      <c r="D61" s="3" t="s">
        <v>24</v>
      </c>
      <c r="E61" s="3" t="s">
        <v>25</v>
      </c>
      <c r="F61" s="3" t="s">
        <v>50</v>
      </c>
      <c r="G61" s="6">
        <v>100</v>
      </c>
      <c r="H61" s="3" t="s">
        <v>14</v>
      </c>
      <c r="I61" s="3" t="s">
        <v>45</v>
      </c>
    </row>
    <row r="62" spans="1:9">
      <c r="A62" s="3" t="s">
        <v>142</v>
      </c>
      <c r="B62" s="5">
        <v>46203</v>
      </c>
      <c r="C62" s="3" t="s">
        <v>143</v>
      </c>
      <c r="D62" s="3" t="s">
        <v>33</v>
      </c>
      <c r="E62" s="3" t="s">
        <v>49</v>
      </c>
      <c r="F62" s="3" t="s">
        <v>39</v>
      </c>
      <c r="G62" s="6">
        <v>3268</v>
      </c>
      <c r="H62" s="3" t="s">
        <v>56</v>
      </c>
      <c r="I62" s="3" t="s">
        <v>45</v>
      </c>
    </row>
    <row r="63" spans="1:9">
      <c r="A63" s="3" t="s">
        <v>144</v>
      </c>
      <c r="B63" s="5">
        <v>46206</v>
      </c>
      <c r="C63" s="3" t="s">
        <v>23</v>
      </c>
      <c r="D63" s="3" t="s">
        <v>33</v>
      </c>
      <c r="E63" s="3" t="s">
        <v>53</v>
      </c>
      <c r="F63" s="3" t="s">
        <v>50</v>
      </c>
      <c r="G63" s="6">
        <v>1738</v>
      </c>
      <c r="H63" s="3" t="s">
        <v>14</v>
      </c>
      <c r="I63" s="3" t="s">
        <v>15</v>
      </c>
    </row>
    <row r="64" spans="1:9">
      <c r="A64" s="3" t="s">
        <v>145</v>
      </c>
      <c r="B64" s="5">
        <v>46209</v>
      </c>
      <c r="C64" s="3" t="s">
        <v>28</v>
      </c>
      <c r="D64" s="3" t="s">
        <v>33</v>
      </c>
      <c r="E64" s="3" t="s">
        <v>68</v>
      </c>
      <c r="F64" s="3" t="s">
        <v>50</v>
      </c>
      <c r="G64" s="6">
        <v>3533</v>
      </c>
      <c r="H64" s="3" t="s">
        <v>56</v>
      </c>
      <c r="I64" s="3" t="s">
        <v>30</v>
      </c>
    </row>
    <row r="65" spans="1:9">
      <c r="A65" s="3" t="s">
        <v>146</v>
      </c>
      <c r="B65" s="5">
        <v>46212</v>
      </c>
      <c r="C65" s="3" t="s">
        <v>23</v>
      </c>
      <c r="D65" s="3" t="s">
        <v>24</v>
      </c>
      <c r="E65" s="3" t="s">
        <v>25</v>
      </c>
      <c r="F65" s="3" t="s">
        <v>13</v>
      </c>
      <c r="G65" s="6">
        <v>185</v>
      </c>
      <c r="H65" s="3" t="s">
        <v>26</v>
      </c>
      <c r="I65" s="3" t="s">
        <v>41</v>
      </c>
    </row>
    <row r="66" spans="1:9">
      <c r="A66" s="3" t="s">
        <v>147</v>
      </c>
      <c r="B66" s="5">
        <v>46215</v>
      </c>
      <c r="C66" s="3" t="s">
        <v>148</v>
      </c>
      <c r="D66" s="3" t="s">
        <v>61</v>
      </c>
      <c r="E66" s="3" t="s">
        <v>62</v>
      </c>
      <c r="F66" s="3" t="s">
        <v>13</v>
      </c>
      <c r="G66" s="6">
        <v>306</v>
      </c>
      <c r="H66" s="3" t="s">
        <v>20</v>
      </c>
      <c r="I66" s="3" t="s">
        <v>21</v>
      </c>
    </row>
    <row r="67" spans="1:9">
      <c r="A67" s="3" t="s">
        <v>149</v>
      </c>
      <c r="B67" s="5">
        <v>46218</v>
      </c>
      <c r="C67" s="3" t="s">
        <v>73</v>
      </c>
      <c r="D67" s="3" t="s">
        <v>24</v>
      </c>
      <c r="E67" s="3" t="s">
        <v>25</v>
      </c>
      <c r="F67" s="3" t="s">
        <v>58</v>
      </c>
      <c r="G67" s="6">
        <v>151</v>
      </c>
      <c r="H67" s="3" t="s">
        <v>26</v>
      </c>
      <c r="I67" s="3" t="s">
        <v>41</v>
      </c>
    </row>
    <row r="68" spans="1:9">
      <c r="A68" s="3" t="s">
        <v>150</v>
      </c>
      <c r="B68" s="5">
        <v>46221</v>
      </c>
      <c r="C68" s="3" t="s">
        <v>151</v>
      </c>
      <c r="D68" s="3" t="s">
        <v>24</v>
      </c>
      <c r="E68" s="3" t="s">
        <v>25</v>
      </c>
      <c r="F68" s="3" t="s">
        <v>13</v>
      </c>
      <c r="G68" s="6">
        <v>95</v>
      </c>
      <c r="H68" s="3" t="s">
        <v>20</v>
      </c>
      <c r="I68" s="3" t="s">
        <v>15</v>
      </c>
    </row>
    <row r="69" spans="1:9">
      <c r="A69" s="3" t="s">
        <v>152</v>
      </c>
      <c r="B69" s="5">
        <v>46224</v>
      </c>
      <c r="C69" s="3" t="s">
        <v>153</v>
      </c>
      <c r="D69" s="3" t="s">
        <v>24</v>
      </c>
      <c r="E69" s="3" t="s">
        <v>25</v>
      </c>
      <c r="F69" s="3" t="s">
        <v>13</v>
      </c>
      <c r="G69" s="6">
        <v>241</v>
      </c>
      <c r="H69" s="3" t="s">
        <v>40</v>
      </c>
      <c r="I69" s="3" t="s">
        <v>45</v>
      </c>
    </row>
    <row r="70" spans="1:9">
      <c r="A70" s="3" t="s">
        <v>154</v>
      </c>
      <c r="B70" s="5">
        <v>46227</v>
      </c>
      <c r="C70" s="3" t="s">
        <v>23</v>
      </c>
      <c r="D70" s="3" t="s">
        <v>37</v>
      </c>
      <c r="E70" s="3" t="s">
        <v>44</v>
      </c>
      <c r="F70" s="3" t="s">
        <v>39</v>
      </c>
      <c r="G70" s="6">
        <v>856</v>
      </c>
      <c r="H70" s="3" t="s">
        <v>14</v>
      </c>
      <c r="I70" s="3" t="s">
        <v>41</v>
      </c>
    </row>
    <row r="71" spans="1:9">
      <c r="A71" s="3" t="s">
        <v>155</v>
      </c>
      <c r="B71" s="5">
        <v>46230</v>
      </c>
      <c r="C71" s="3" t="s">
        <v>126</v>
      </c>
      <c r="D71" s="3" t="s">
        <v>61</v>
      </c>
      <c r="E71" s="3" t="s">
        <v>71</v>
      </c>
      <c r="F71" s="3" t="s">
        <v>50</v>
      </c>
      <c r="G71" s="6">
        <v>298</v>
      </c>
      <c r="H71" s="3" t="s">
        <v>40</v>
      </c>
      <c r="I71" s="3" t="s">
        <v>30</v>
      </c>
    </row>
    <row r="72" spans="1:9">
      <c r="A72" s="3" t="s">
        <v>156</v>
      </c>
      <c r="B72" s="5">
        <v>46233</v>
      </c>
      <c r="C72" s="3" t="s">
        <v>10</v>
      </c>
      <c r="D72" s="3" t="s">
        <v>61</v>
      </c>
      <c r="E72" s="3" t="s">
        <v>71</v>
      </c>
      <c r="F72" s="3" t="s">
        <v>50</v>
      </c>
      <c r="G72" s="6">
        <v>249</v>
      </c>
      <c r="H72" s="3" t="s">
        <v>56</v>
      </c>
      <c r="I72" s="3" t="s">
        <v>15</v>
      </c>
    </row>
    <row r="73" spans="1:9">
      <c r="A73" s="3" t="s">
        <v>157</v>
      </c>
      <c r="B73" s="5">
        <v>46236</v>
      </c>
      <c r="C73" s="3" t="s">
        <v>52</v>
      </c>
      <c r="D73" s="3" t="s">
        <v>37</v>
      </c>
      <c r="E73" s="3" t="s">
        <v>44</v>
      </c>
      <c r="F73" s="3" t="s">
        <v>39</v>
      </c>
      <c r="G73" s="6">
        <v>498</v>
      </c>
      <c r="H73" s="3" t="s">
        <v>14</v>
      </c>
      <c r="I73" s="3" t="s">
        <v>15</v>
      </c>
    </row>
    <row r="74" spans="1:9">
      <c r="A74" s="3" t="s">
        <v>158</v>
      </c>
      <c r="B74" s="5">
        <v>46239</v>
      </c>
      <c r="C74" s="3" t="s">
        <v>114</v>
      </c>
      <c r="D74" s="3" t="s">
        <v>11</v>
      </c>
      <c r="E74" s="3" t="s">
        <v>18</v>
      </c>
      <c r="F74" s="3" t="s">
        <v>50</v>
      </c>
      <c r="G74" s="6">
        <v>483</v>
      </c>
      <c r="H74" s="3" t="s">
        <v>40</v>
      </c>
      <c r="I74" s="3" t="s">
        <v>30</v>
      </c>
    </row>
    <row r="75" spans="1:9">
      <c r="A75" s="3" t="s">
        <v>159</v>
      </c>
      <c r="B75" s="5">
        <v>46242</v>
      </c>
      <c r="C75" s="3" t="s">
        <v>135</v>
      </c>
      <c r="D75" s="3" t="s">
        <v>11</v>
      </c>
      <c r="E75" s="3" t="s">
        <v>76</v>
      </c>
      <c r="F75" s="3" t="s">
        <v>58</v>
      </c>
      <c r="G75" s="6">
        <v>1057</v>
      </c>
      <c r="H75" s="3" t="s">
        <v>20</v>
      </c>
      <c r="I75" s="3" t="s">
        <v>21</v>
      </c>
    </row>
    <row r="76" spans="1:9">
      <c r="A76" s="3" t="s">
        <v>160</v>
      </c>
      <c r="B76" s="5">
        <v>46245</v>
      </c>
      <c r="C76" s="3" t="s">
        <v>52</v>
      </c>
      <c r="D76" s="3" t="s">
        <v>61</v>
      </c>
      <c r="E76" s="3" t="s">
        <v>62</v>
      </c>
      <c r="F76" s="3" t="s">
        <v>29</v>
      </c>
      <c r="G76" s="6">
        <v>202</v>
      </c>
      <c r="H76" s="3" t="s">
        <v>14</v>
      </c>
      <c r="I76" s="3" t="s">
        <v>30</v>
      </c>
    </row>
    <row r="77" spans="1:9">
      <c r="A77" s="3" t="s">
        <v>161</v>
      </c>
      <c r="B77" s="5">
        <v>46248</v>
      </c>
      <c r="C77" s="3" t="s">
        <v>141</v>
      </c>
      <c r="D77" s="3" t="s">
        <v>24</v>
      </c>
      <c r="E77" s="3" t="s">
        <v>25</v>
      </c>
      <c r="F77" s="3" t="s">
        <v>19</v>
      </c>
      <c r="G77" s="6">
        <v>164</v>
      </c>
      <c r="H77" s="3" t="s">
        <v>40</v>
      </c>
      <c r="I77" s="3" t="s">
        <v>41</v>
      </c>
    </row>
    <row r="78" spans="1:9">
      <c r="A78" s="3" t="s">
        <v>162</v>
      </c>
      <c r="B78" s="5">
        <v>46251</v>
      </c>
      <c r="C78" s="3" t="s">
        <v>23</v>
      </c>
      <c r="D78" s="3" t="s">
        <v>11</v>
      </c>
      <c r="E78" s="3" t="s">
        <v>65</v>
      </c>
      <c r="F78" s="3" t="s">
        <v>39</v>
      </c>
      <c r="G78" s="6">
        <v>636</v>
      </c>
      <c r="H78" s="3" t="s">
        <v>40</v>
      </c>
      <c r="I78" s="3" t="s">
        <v>45</v>
      </c>
    </row>
    <row r="79" spans="1:9">
      <c r="A79" s="3" t="s">
        <v>163</v>
      </c>
      <c r="B79" s="5">
        <v>46254</v>
      </c>
      <c r="C79" s="3" t="s">
        <v>164</v>
      </c>
      <c r="D79" s="3" t="s">
        <v>24</v>
      </c>
      <c r="E79" s="3" t="s">
        <v>25</v>
      </c>
      <c r="F79" s="3" t="s">
        <v>39</v>
      </c>
      <c r="G79" s="6">
        <v>105</v>
      </c>
      <c r="H79" s="3" t="s">
        <v>40</v>
      </c>
      <c r="I79" s="3" t="s">
        <v>45</v>
      </c>
    </row>
    <row r="80" spans="1:9">
      <c r="A80" s="3" t="s">
        <v>165</v>
      </c>
      <c r="B80" s="5">
        <v>46257</v>
      </c>
      <c r="C80" s="3" t="s">
        <v>164</v>
      </c>
      <c r="D80" s="3" t="s">
        <v>24</v>
      </c>
      <c r="E80" s="3" t="s">
        <v>25</v>
      </c>
      <c r="F80" s="3" t="s">
        <v>39</v>
      </c>
      <c r="G80" s="6">
        <v>154</v>
      </c>
      <c r="H80" s="3" t="s">
        <v>14</v>
      </c>
      <c r="I80" s="3" t="s">
        <v>21</v>
      </c>
    </row>
    <row r="81" spans="1:9">
      <c r="A81" s="3" t="s">
        <v>166</v>
      </c>
      <c r="B81" s="5">
        <v>46260</v>
      </c>
      <c r="C81" s="3" t="s">
        <v>167</v>
      </c>
      <c r="D81" s="3" t="s">
        <v>33</v>
      </c>
      <c r="E81" s="3" t="s">
        <v>53</v>
      </c>
      <c r="F81" s="3" t="s">
        <v>39</v>
      </c>
      <c r="G81" s="6">
        <v>1970</v>
      </c>
      <c r="H81" s="3" t="s">
        <v>20</v>
      </c>
      <c r="I81" s="3" t="s">
        <v>15</v>
      </c>
    </row>
    <row r="82" spans="1:9">
      <c r="A82" s="3" t="s">
        <v>168</v>
      </c>
      <c r="B82" s="5">
        <v>46263</v>
      </c>
      <c r="C82" s="3" t="s">
        <v>70</v>
      </c>
      <c r="D82" s="3" t="s">
        <v>37</v>
      </c>
      <c r="E82" s="3" t="s">
        <v>55</v>
      </c>
      <c r="F82" s="3" t="s">
        <v>13</v>
      </c>
      <c r="G82" s="6">
        <v>447</v>
      </c>
      <c r="H82" s="3" t="s">
        <v>26</v>
      </c>
      <c r="I82" s="3" t="s">
        <v>45</v>
      </c>
    </row>
    <row r="83" spans="1:9">
      <c r="A83" s="3" t="s">
        <v>169</v>
      </c>
      <c r="B83" s="5">
        <v>46266</v>
      </c>
      <c r="C83" s="3" t="s">
        <v>139</v>
      </c>
      <c r="D83" s="3" t="s">
        <v>61</v>
      </c>
      <c r="E83" s="3" t="s">
        <v>71</v>
      </c>
      <c r="F83" s="3" t="s">
        <v>39</v>
      </c>
      <c r="G83" s="6">
        <v>626</v>
      </c>
      <c r="H83" s="3" t="s">
        <v>20</v>
      </c>
      <c r="I83" s="3" t="s">
        <v>30</v>
      </c>
    </row>
    <row r="84" spans="1:9">
      <c r="A84" s="3" t="s">
        <v>170</v>
      </c>
      <c r="B84" s="5">
        <v>46269</v>
      </c>
      <c r="C84" s="3" t="s">
        <v>121</v>
      </c>
      <c r="D84" s="3" t="s">
        <v>11</v>
      </c>
      <c r="E84" s="3" t="s">
        <v>12</v>
      </c>
      <c r="F84" s="3" t="s">
        <v>13</v>
      </c>
      <c r="G84" s="6">
        <v>1054</v>
      </c>
      <c r="H84" s="3" t="s">
        <v>40</v>
      </c>
      <c r="I84" s="3" t="s">
        <v>21</v>
      </c>
    </row>
    <row r="85" spans="1:9">
      <c r="A85" s="3" t="s">
        <v>171</v>
      </c>
      <c r="B85" s="5">
        <v>46272</v>
      </c>
      <c r="C85" s="3" t="s">
        <v>73</v>
      </c>
      <c r="D85" s="3" t="s">
        <v>37</v>
      </c>
      <c r="E85" s="3" t="s">
        <v>38</v>
      </c>
      <c r="F85" s="3" t="s">
        <v>39</v>
      </c>
      <c r="G85" s="6">
        <v>505</v>
      </c>
      <c r="H85" s="3" t="s">
        <v>26</v>
      </c>
      <c r="I85" s="3" t="s">
        <v>21</v>
      </c>
    </row>
    <row r="86" spans="1:9">
      <c r="A86" s="3" t="s">
        <v>172</v>
      </c>
      <c r="B86" s="5">
        <v>46275</v>
      </c>
      <c r="C86" s="3" t="s">
        <v>173</v>
      </c>
      <c r="D86" s="3" t="s">
        <v>33</v>
      </c>
      <c r="E86" s="3" t="s">
        <v>174</v>
      </c>
      <c r="F86" s="3" t="s">
        <v>19</v>
      </c>
      <c r="G86" s="6">
        <v>2531</v>
      </c>
      <c r="H86" s="3" t="s">
        <v>26</v>
      </c>
      <c r="I86" s="3" t="s">
        <v>21</v>
      </c>
    </row>
    <row r="87" spans="1:9">
      <c r="A87" s="3" t="s">
        <v>175</v>
      </c>
      <c r="B87" s="5">
        <v>46278</v>
      </c>
      <c r="C87" s="3" t="s">
        <v>176</v>
      </c>
      <c r="D87" s="3" t="s">
        <v>11</v>
      </c>
      <c r="E87" s="3" t="s">
        <v>65</v>
      </c>
      <c r="F87" s="3" t="s">
        <v>29</v>
      </c>
      <c r="G87" s="6">
        <v>338</v>
      </c>
      <c r="H87" s="3" t="s">
        <v>56</v>
      </c>
      <c r="I87" s="3" t="s">
        <v>21</v>
      </c>
    </row>
    <row r="88" spans="1:9">
      <c r="A88" s="3" t="s">
        <v>177</v>
      </c>
      <c r="B88" s="5">
        <v>46281</v>
      </c>
      <c r="C88" s="3" t="s">
        <v>103</v>
      </c>
      <c r="D88" s="3" t="s">
        <v>37</v>
      </c>
      <c r="E88" s="3" t="s">
        <v>38</v>
      </c>
      <c r="F88" s="3" t="s">
        <v>29</v>
      </c>
      <c r="G88" s="6">
        <v>636</v>
      </c>
      <c r="H88" s="3" t="s">
        <v>26</v>
      </c>
      <c r="I88" s="3" t="s">
        <v>45</v>
      </c>
    </row>
    <row r="89" spans="1:9">
      <c r="A89" s="3" t="s">
        <v>178</v>
      </c>
      <c r="B89" s="5">
        <v>46284</v>
      </c>
      <c r="C89" s="3" t="s">
        <v>67</v>
      </c>
      <c r="D89" s="3" t="s">
        <v>33</v>
      </c>
      <c r="E89" s="3" t="s">
        <v>68</v>
      </c>
      <c r="F89" s="3" t="s">
        <v>13</v>
      </c>
      <c r="G89" s="6">
        <v>1529</v>
      </c>
      <c r="H89" s="3" t="s">
        <v>56</v>
      </c>
      <c r="I89" s="3" t="s">
        <v>41</v>
      </c>
    </row>
    <row r="90" spans="1:9">
      <c r="A90" s="3" t="s">
        <v>179</v>
      </c>
      <c r="B90" s="5">
        <v>46287</v>
      </c>
      <c r="C90" s="3" t="s">
        <v>101</v>
      </c>
      <c r="D90" s="3" t="s">
        <v>37</v>
      </c>
      <c r="E90" s="3" t="s">
        <v>55</v>
      </c>
      <c r="F90" s="3" t="s">
        <v>58</v>
      </c>
      <c r="G90" s="6">
        <v>801</v>
      </c>
      <c r="H90" s="3" t="s">
        <v>40</v>
      </c>
      <c r="I90" s="3" t="s">
        <v>41</v>
      </c>
    </row>
    <row r="91" spans="1:9">
      <c r="A91" s="3" t="s">
        <v>180</v>
      </c>
      <c r="B91" s="5">
        <v>46290</v>
      </c>
      <c r="C91" s="3" t="s">
        <v>28</v>
      </c>
      <c r="D91" s="3" t="s">
        <v>11</v>
      </c>
      <c r="E91" s="3" t="s">
        <v>65</v>
      </c>
      <c r="F91" s="3" t="s">
        <v>39</v>
      </c>
      <c r="G91" s="6">
        <v>753</v>
      </c>
      <c r="H91" s="3" t="s">
        <v>14</v>
      </c>
      <c r="I91" s="3" t="s">
        <v>45</v>
      </c>
    </row>
    <row r="92" spans="1:9">
      <c r="A92" s="3" t="s">
        <v>181</v>
      </c>
      <c r="B92" s="5">
        <v>46293</v>
      </c>
      <c r="C92" s="3" t="s">
        <v>182</v>
      </c>
      <c r="D92" s="3" t="s">
        <v>37</v>
      </c>
      <c r="E92" s="3" t="s">
        <v>55</v>
      </c>
      <c r="F92" s="3" t="s">
        <v>50</v>
      </c>
      <c r="G92" s="6">
        <v>575</v>
      </c>
      <c r="H92" s="3" t="s">
        <v>20</v>
      </c>
      <c r="I92" s="3" t="s">
        <v>15</v>
      </c>
    </row>
    <row r="93" spans="1:9">
      <c r="A93" s="3" t="s">
        <v>183</v>
      </c>
      <c r="B93" s="5">
        <v>46296</v>
      </c>
      <c r="C93" s="3" t="s">
        <v>75</v>
      </c>
      <c r="D93" s="3" t="s">
        <v>37</v>
      </c>
      <c r="E93" s="3" t="s">
        <v>44</v>
      </c>
      <c r="F93" s="3" t="s">
        <v>29</v>
      </c>
      <c r="G93" s="6">
        <v>759</v>
      </c>
      <c r="H93" s="3" t="s">
        <v>26</v>
      </c>
      <c r="I93" s="3" t="s">
        <v>45</v>
      </c>
    </row>
    <row r="94" spans="1:9">
      <c r="A94" s="3" t="s">
        <v>184</v>
      </c>
      <c r="B94" s="5">
        <v>46299</v>
      </c>
      <c r="C94" s="3" t="s">
        <v>167</v>
      </c>
      <c r="D94" s="3" t="s">
        <v>24</v>
      </c>
      <c r="E94" s="3" t="s">
        <v>25</v>
      </c>
      <c r="F94" s="3" t="s">
        <v>50</v>
      </c>
      <c r="G94" s="6">
        <v>199</v>
      </c>
      <c r="H94" s="3" t="s">
        <v>40</v>
      </c>
      <c r="I94" s="3" t="s">
        <v>45</v>
      </c>
    </row>
    <row r="95" spans="1:9">
      <c r="A95" s="3" t="s">
        <v>185</v>
      </c>
      <c r="B95" s="5">
        <v>46302</v>
      </c>
      <c r="C95" s="3" t="s">
        <v>186</v>
      </c>
      <c r="D95" s="3" t="s">
        <v>11</v>
      </c>
      <c r="E95" s="3" t="s">
        <v>12</v>
      </c>
      <c r="F95" s="3" t="s">
        <v>19</v>
      </c>
      <c r="G95" s="6">
        <v>323</v>
      </c>
      <c r="H95" s="3" t="s">
        <v>40</v>
      </c>
      <c r="I95" s="3" t="s">
        <v>30</v>
      </c>
    </row>
    <row r="96" spans="1:9">
      <c r="A96" s="3" t="s">
        <v>187</v>
      </c>
      <c r="B96" s="5">
        <v>46305</v>
      </c>
      <c r="C96" s="3" t="s">
        <v>176</v>
      </c>
      <c r="D96" s="3" t="s">
        <v>24</v>
      </c>
      <c r="E96" s="3" t="s">
        <v>25</v>
      </c>
      <c r="F96" s="3" t="s">
        <v>39</v>
      </c>
      <c r="G96" s="6">
        <v>244</v>
      </c>
      <c r="H96" s="3" t="s">
        <v>14</v>
      </c>
      <c r="I96" s="3" t="s">
        <v>45</v>
      </c>
    </row>
    <row r="97" spans="1:9">
      <c r="A97" s="3" t="s">
        <v>188</v>
      </c>
      <c r="B97" s="5">
        <v>46308</v>
      </c>
      <c r="C97" s="3" t="s">
        <v>182</v>
      </c>
      <c r="D97" s="3" t="s">
        <v>37</v>
      </c>
      <c r="E97" s="3" t="s">
        <v>38</v>
      </c>
      <c r="F97" s="3" t="s">
        <v>50</v>
      </c>
      <c r="G97" s="6">
        <v>392</v>
      </c>
      <c r="H97" s="3" t="s">
        <v>20</v>
      </c>
      <c r="I97" s="3" t="s">
        <v>45</v>
      </c>
    </row>
    <row r="98" spans="1:9">
      <c r="A98" s="3" t="s">
        <v>189</v>
      </c>
      <c r="B98" s="5">
        <v>46311</v>
      </c>
      <c r="C98" s="3" t="s">
        <v>112</v>
      </c>
      <c r="D98" s="3" t="s">
        <v>61</v>
      </c>
      <c r="E98" s="3" t="s">
        <v>62</v>
      </c>
      <c r="F98" s="3" t="s">
        <v>13</v>
      </c>
      <c r="G98" s="6">
        <v>434</v>
      </c>
      <c r="H98" s="3" t="s">
        <v>40</v>
      </c>
      <c r="I98" s="3" t="s">
        <v>41</v>
      </c>
    </row>
    <row r="99" spans="1:9">
      <c r="A99" s="3" t="s">
        <v>190</v>
      </c>
      <c r="B99" s="5">
        <v>46314</v>
      </c>
      <c r="C99" s="3" t="s">
        <v>32</v>
      </c>
      <c r="D99" s="3" t="s">
        <v>11</v>
      </c>
      <c r="E99" s="3" t="s">
        <v>18</v>
      </c>
      <c r="F99" s="3" t="s">
        <v>13</v>
      </c>
      <c r="G99" s="6">
        <v>1031</v>
      </c>
      <c r="H99" s="3" t="s">
        <v>20</v>
      </c>
      <c r="I99" s="3" t="s">
        <v>15</v>
      </c>
    </row>
    <row r="100" spans="1:9">
      <c r="A100" s="3" t="s">
        <v>191</v>
      </c>
      <c r="B100" s="5">
        <v>46317</v>
      </c>
      <c r="C100" s="3" t="s">
        <v>108</v>
      </c>
      <c r="D100" s="3" t="s">
        <v>33</v>
      </c>
      <c r="E100" s="3" t="s">
        <v>68</v>
      </c>
      <c r="F100" s="3" t="s">
        <v>29</v>
      </c>
      <c r="G100" s="6">
        <v>5732</v>
      </c>
      <c r="H100" s="3" t="s">
        <v>56</v>
      </c>
      <c r="I100" s="3" t="s">
        <v>41</v>
      </c>
    </row>
    <row r="101" spans="1:9">
      <c r="A101" s="3" t="s">
        <v>192</v>
      </c>
      <c r="B101" s="5">
        <v>46320</v>
      </c>
      <c r="C101" s="3" t="s">
        <v>32</v>
      </c>
      <c r="D101" s="3" t="s">
        <v>11</v>
      </c>
      <c r="E101" s="3" t="s">
        <v>18</v>
      </c>
      <c r="F101" s="3" t="s">
        <v>39</v>
      </c>
      <c r="G101" s="6">
        <v>1108</v>
      </c>
      <c r="H101" s="3" t="s">
        <v>56</v>
      </c>
      <c r="I101" s="3" t="s">
        <v>30</v>
      </c>
    </row>
    <row r="102" spans="1:9">
      <c r="A102" s="3" t="s">
        <v>193</v>
      </c>
      <c r="B102" s="5">
        <v>46323</v>
      </c>
      <c r="C102" s="3" t="s">
        <v>70</v>
      </c>
      <c r="D102" s="3" t="s">
        <v>33</v>
      </c>
      <c r="E102" s="3" t="s">
        <v>194</v>
      </c>
      <c r="F102" s="3" t="s">
        <v>19</v>
      </c>
      <c r="G102" s="6">
        <v>3114</v>
      </c>
      <c r="H102" s="3" t="s">
        <v>14</v>
      </c>
      <c r="I102" s="3" t="s">
        <v>30</v>
      </c>
    </row>
    <row r="103" spans="1:9">
      <c r="A103" s="3" t="s">
        <v>195</v>
      </c>
      <c r="B103" s="5">
        <v>46326</v>
      </c>
      <c r="C103" s="3" t="s">
        <v>83</v>
      </c>
      <c r="D103" s="3" t="s">
        <v>61</v>
      </c>
      <c r="E103" s="3" t="s">
        <v>62</v>
      </c>
      <c r="F103" s="3" t="s">
        <v>29</v>
      </c>
      <c r="G103" s="6">
        <v>680</v>
      </c>
      <c r="H103" s="3" t="s">
        <v>26</v>
      </c>
      <c r="I103" s="3" t="s">
        <v>45</v>
      </c>
    </row>
    <row r="104" spans="1:9">
      <c r="A104" s="3" t="s">
        <v>196</v>
      </c>
      <c r="B104" s="5">
        <v>46329</v>
      </c>
      <c r="C104" s="3" t="s">
        <v>43</v>
      </c>
      <c r="D104" s="3" t="s">
        <v>24</v>
      </c>
      <c r="E104" s="3" t="s">
        <v>25</v>
      </c>
      <c r="F104" s="3" t="s">
        <v>58</v>
      </c>
      <c r="G104" s="6">
        <v>144</v>
      </c>
      <c r="H104" s="3" t="s">
        <v>14</v>
      </c>
      <c r="I104" s="3" t="s">
        <v>45</v>
      </c>
    </row>
    <row r="105" spans="1:9">
      <c r="A105" s="3" t="s">
        <v>197</v>
      </c>
      <c r="B105" s="5">
        <v>46332</v>
      </c>
      <c r="C105" s="3" t="s">
        <v>198</v>
      </c>
      <c r="D105" s="3" t="s">
        <v>24</v>
      </c>
      <c r="E105" s="3" t="s">
        <v>25</v>
      </c>
      <c r="F105" s="3" t="s">
        <v>58</v>
      </c>
      <c r="G105" s="6">
        <v>99</v>
      </c>
      <c r="H105" s="3" t="s">
        <v>20</v>
      </c>
      <c r="I105" s="3" t="s">
        <v>30</v>
      </c>
    </row>
    <row r="106" spans="1:9">
      <c r="A106" s="3" t="s">
        <v>199</v>
      </c>
      <c r="B106" s="5">
        <v>46335</v>
      </c>
      <c r="C106" s="3" t="s">
        <v>133</v>
      </c>
      <c r="D106" s="3" t="s">
        <v>11</v>
      </c>
      <c r="E106" s="3" t="s">
        <v>76</v>
      </c>
      <c r="F106" s="3" t="s">
        <v>19</v>
      </c>
      <c r="G106" s="6">
        <v>988</v>
      </c>
      <c r="H106" s="3" t="s">
        <v>26</v>
      </c>
      <c r="I106" s="3" t="s">
        <v>45</v>
      </c>
    </row>
    <row r="107" spans="1:9">
      <c r="A107" s="3" t="s">
        <v>200</v>
      </c>
      <c r="B107" s="5">
        <v>46338</v>
      </c>
      <c r="C107" s="3" t="s">
        <v>17</v>
      </c>
      <c r="D107" s="3" t="s">
        <v>33</v>
      </c>
      <c r="E107" s="3" t="s">
        <v>34</v>
      </c>
      <c r="F107" s="3" t="s">
        <v>58</v>
      </c>
      <c r="G107" s="6">
        <v>3671</v>
      </c>
      <c r="H107" s="3" t="s">
        <v>56</v>
      </c>
      <c r="I107" s="3" t="s">
        <v>45</v>
      </c>
    </row>
    <row r="108" spans="1:9">
      <c r="A108" s="3" t="s">
        <v>201</v>
      </c>
      <c r="B108" s="5">
        <v>46341</v>
      </c>
      <c r="C108" s="3" t="s">
        <v>103</v>
      </c>
      <c r="D108" s="3" t="s">
        <v>11</v>
      </c>
      <c r="E108" s="3" t="s">
        <v>18</v>
      </c>
      <c r="F108" s="3" t="s">
        <v>13</v>
      </c>
      <c r="G108" s="6">
        <v>366</v>
      </c>
      <c r="H108" s="3" t="s">
        <v>26</v>
      </c>
      <c r="I108" s="3" t="s">
        <v>45</v>
      </c>
    </row>
    <row r="109" spans="1:9">
      <c r="A109" s="3" t="s">
        <v>202</v>
      </c>
      <c r="B109" s="5">
        <v>46344</v>
      </c>
      <c r="C109" s="3" t="s">
        <v>67</v>
      </c>
      <c r="D109" s="3" t="s">
        <v>24</v>
      </c>
      <c r="E109" s="3" t="s">
        <v>25</v>
      </c>
      <c r="F109" s="3" t="s">
        <v>39</v>
      </c>
      <c r="G109" s="6">
        <v>213</v>
      </c>
      <c r="H109" s="3" t="s">
        <v>40</v>
      </c>
      <c r="I109" s="3" t="s">
        <v>41</v>
      </c>
    </row>
    <row r="110" spans="1:9">
      <c r="A110" s="3" t="s">
        <v>203</v>
      </c>
      <c r="B110" s="5">
        <v>46347</v>
      </c>
      <c r="C110" s="3" t="s">
        <v>43</v>
      </c>
      <c r="D110" s="3" t="s">
        <v>37</v>
      </c>
      <c r="E110" s="3" t="s">
        <v>44</v>
      </c>
      <c r="F110" s="3" t="s">
        <v>13</v>
      </c>
      <c r="G110" s="6">
        <v>642</v>
      </c>
      <c r="H110" s="3" t="s">
        <v>56</v>
      </c>
      <c r="I110" s="3" t="s">
        <v>41</v>
      </c>
    </row>
    <row r="111" spans="1:9">
      <c r="A111" s="3" t="s">
        <v>204</v>
      </c>
      <c r="B111" s="5">
        <v>46350</v>
      </c>
      <c r="C111" s="3" t="s">
        <v>48</v>
      </c>
      <c r="D111" s="3" t="s">
        <v>24</v>
      </c>
      <c r="E111" s="3" t="s">
        <v>25</v>
      </c>
      <c r="F111" s="3" t="s">
        <v>29</v>
      </c>
      <c r="G111" s="6">
        <v>248</v>
      </c>
      <c r="H111" s="3" t="s">
        <v>14</v>
      </c>
      <c r="I111" s="3" t="s">
        <v>21</v>
      </c>
    </row>
    <row r="112" spans="1:9">
      <c r="A112" s="3" t="s">
        <v>205</v>
      </c>
      <c r="B112" s="5">
        <v>46353</v>
      </c>
      <c r="C112" s="3" t="s">
        <v>67</v>
      </c>
      <c r="D112" s="3" t="s">
        <v>61</v>
      </c>
      <c r="E112" s="3" t="s">
        <v>71</v>
      </c>
      <c r="F112" s="3" t="s">
        <v>29</v>
      </c>
      <c r="G112" s="6">
        <v>492</v>
      </c>
      <c r="H112" s="3" t="s">
        <v>56</v>
      </c>
      <c r="I112" s="3" t="s">
        <v>15</v>
      </c>
    </row>
    <row r="113" spans="1:9">
      <c r="A113" s="3" t="s">
        <v>206</v>
      </c>
      <c r="B113" s="5">
        <v>46356</v>
      </c>
      <c r="C113" s="3" t="s">
        <v>10</v>
      </c>
      <c r="D113" s="3" t="s">
        <v>11</v>
      </c>
      <c r="E113" s="3" t="s">
        <v>18</v>
      </c>
      <c r="F113" s="3" t="s">
        <v>39</v>
      </c>
      <c r="G113" s="6">
        <v>820</v>
      </c>
      <c r="H113" s="3" t="s">
        <v>14</v>
      </c>
      <c r="I113" s="3" t="s">
        <v>21</v>
      </c>
    </row>
    <row r="114" spans="1:9">
      <c r="A114" s="3" t="s">
        <v>207</v>
      </c>
      <c r="B114" s="5">
        <v>46359</v>
      </c>
      <c r="C114" s="3" t="s">
        <v>75</v>
      </c>
      <c r="D114" s="3" t="s">
        <v>61</v>
      </c>
      <c r="E114" s="3" t="s">
        <v>71</v>
      </c>
      <c r="F114" s="3" t="s">
        <v>29</v>
      </c>
      <c r="G114" s="6">
        <v>519</v>
      </c>
      <c r="H114" s="3" t="s">
        <v>14</v>
      </c>
      <c r="I114" s="3" t="s">
        <v>41</v>
      </c>
    </row>
    <row r="115" spans="1:9">
      <c r="A115" s="3" t="s">
        <v>208</v>
      </c>
      <c r="B115" s="5">
        <v>46362</v>
      </c>
      <c r="C115" s="3" t="s">
        <v>83</v>
      </c>
      <c r="D115" s="3" t="s">
        <v>37</v>
      </c>
      <c r="E115" s="3" t="s">
        <v>44</v>
      </c>
      <c r="F115" s="3" t="s">
        <v>19</v>
      </c>
      <c r="G115" s="6">
        <v>377</v>
      </c>
      <c r="H115" s="3" t="s">
        <v>56</v>
      </c>
      <c r="I115" s="3" t="s">
        <v>41</v>
      </c>
    </row>
    <row r="116" spans="1:9">
      <c r="A116" s="3" t="s">
        <v>209</v>
      </c>
      <c r="B116" s="5">
        <v>46365</v>
      </c>
      <c r="C116" s="3" t="s">
        <v>210</v>
      </c>
      <c r="D116" s="3" t="s">
        <v>61</v>
      </c>
      <c r="E116" s="3" t="s">
        <v>71</v>
      </c>
      <c r="F116" s="3" t="s">
        <v>19</v>
      </c>
      <c r="G116" s="6">
        <v>653</v>
      </c>
      <c r="H116" s="3" t="s">
        <v>20</v>
      </c>
      <c r="I116" s="3" t="s">
        <v>45</v>
      </c>
    </row>
    <row r="117" spans="1:9">
      <c r="A117" s="3" t="s">
        <v>211</v>
      </c>
      <c r="B117" s="5">
        <v>46368</v>
      </c>
      <c r="C117" s="3" t="s">
        <v>112</v>
      </c>
      <c r="D117" s="3" t="s">
        <v>33</v>
      </c>
      <c r="E117" s="3" t="s">
        <v>212</v>
      </c>
      <c r="F117" s="3" t="s">
        <v>29</v>
      </c>
      <c r="G117" s="6">
        <v>5707</v>
      </c>
      <c r="H117" s="3" t="s">
        <v>26</v>
      </c>
      <c r="I117" s="3" t="s">
        <v>21</v>
      </c>
    </row>
    <row r="118" spans="1:9">
      <c r="A118" s="3" t="s">
        <v>213</v>
      </c>
      <c r="B118" s="5">
        <v>46371</v>
      </c>
      <c r="C118" s="3" t="s">
        <v>80</v>
      </c>
      <c r="D118" s="3" t="s">
        <v>11</v>
      </c>
      <c r="E118" s="3" t="s">
        <v>12</v>
      </c>
      <c r="F118" s="3" t="s">
        <v>29</v>
      </c>
      <c r="G118" s="6">
        <v>831</v>
      </c>
      <c r="H118" s="3" t="s">
        <v>26</v>
      </c>
      <c r="I118" s="3" t="s">
        <v>21</v>
      </c>
    </row>
    <row r="119" spans="1:9">
      <c r="A119" s="3" t="s">
        <v>214</v>
      </c>
      <c r="B119" s="5">
        <v>46374</v>
      </c>
      <c r="C119" s="3" t="s">
        <v>182</v>
      </c>
      <c r="D119" s="3" t="s">
        <v>33</v>
      </c>
      <c r="E119" s="3" t="s">
        <v>194</v>
      </c>
      <c r="F119" s="3" t="s">
        <v>39</v>
      </c>
      <c r="G119" s="6">
        <v>4577</v>
      </c>
      <c r="H119" s="3" t="s">
        <v>40</v>
      </c>
      <c r="I119" s="3" t="s">
        <v>45</v>
      </c>
    </row>
    <row r="120" spans="1:9">
      <c r="A120" s="3" t="s">
        <v>215</v>
      </c>
      <c r="B120" s="5">
        <v>46377</v>
      </c>
      <c r="C120" s="3" t="s">
        <v>83</v>
      </c>
      <c r="D120" s="3" t="s">
        <v>33</v>
      </c>
      <c r="E120" s="3" t="s">
        <v>68</v>
      </c>
      <c r="F120" s="3" t="s">
        <v>19</v>
      </c>
      <c r="G120" s="6">
        <v>1965</v>
      </c>
      <c r="H120" s="3" t="s">
        <v>26</v>
      </c>
      <c r="I120" s="3" t="s">
        <v>45</v>
      </c>
    </row>
    <row r="121" spans="1:9">
      <c r="A121" s="3" t="s">
        <v>216</v>
      </c>
      <c r="B121" s="5">
        <v>46380</v>
      </c>
      <c r="C121" s="3" t="s">
        <v>116</v>
      </c>
      <c r="D121" s="3" t="s">
        <v>37</v>
      </c>
      <c r="E121" s="3" t="s">
        <v>44</v>
      </c>
      <c r="F121" s="3" t="s">
        <v>58</v>
      </c>
      <c r="G121" s="6">
        <v>675</v>
      </c>
      <c r="H121" s="3" t="s">
        <v>14</v>
      </c>
      <c r="I121" s="3" t="s">
        <v>15</v>
      </c>
    </row>
  </sheetData>
  <conditionalFormatting sqref="I2:I121">
    <cfRule type="containsText" dxfId="4" priority="1" operator="containsText" text="Pending">
      <formula>NOT(ISERROR(SEARCH("Pending",I2)))</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B5896-E427-4942-9153-ECE0F1F85E00}">
  <dimension ref="A1:L121"/>
  <sheetViews>
    <sheetView topLeftCell="B1" workbookViewId="0">
      <pane ySplit="1" topLeftCell="A2" activePane="bottomLeft" state="frozen"/>
      <selection activeCell="B1" sqref="B1"/>
      <selection pane="bottomLeft" activeCell="L2" sqref="L2"/>
    </sheetView>
  </sheetViews>
  <sheetFormatPr defaultRowHeight="14.5"/>
  <cols>
    <col min="1" max="1" width="13.1796875" bestFit="1" customWidth="1"/>
    <col min="2" max="2" width="12.81640625" bestFit="1" customWidth="1"/>
    <col min="3" max="3" width="19.1796875" bestFit="1" customWidth="1"/>
    <col min="4" max="4" width="12.453125" bestFit="1" customWidth="1"/>
    <col min="5" max="5" width="14.26953125" bestFit="1" customWidth="1"/>
    <col min="6" max="6" width="19.54296875" bestFit="1" customWidth="1"/>
    <col min="7" max="7" width="19.1796875" bestFit="1" customWidth="1"/>
    <col min="8" max="8" width="10.7265625" bestFit="1" customWidth="1"/>
    <col min="9" max="9" width="9" bestFit="1" customWidth="1"/>
    <col min="10" max="10" width="14.81640625" bestFit="1" customWidth="1"/>
    <col min="12" max="12" width="14.54296875" bestFit="1" customWidth="1"/>
  </cols>
  <sheetData>
    <row r="1" spans="1:12">
      <c r="A1" s="4" t="s">
        <v>217</v>
      </c>
      <c r="B1" s="4" t="s">
        <v>1</v>
      </c>
      <c r="C1" s="4" t="s">
        <v>218</v>
      </c>
      <c r="D1" s="4" t="s">
        <v>219</v>
      </c>
      <c r="E1" s="4" t="s">
        <v>220</v>
      </c>
      <c r="F1" s="4" t="s">
        <v>4</v>
      </c>
      <c r="G1" s="4" t="s">
        <v>5</v>
      </c>
      <c r="H1" s="4" t="s">
        <v>6</v>
      </c>
      <c r="I1" s="4" t="s">
        <v>221</v>
      </c>
      <c r="J1" s="4" t="s">
        <v>222</v>
      </c>
      <c r="L1" s="18" t="s">
        <v>462</v>
      </c>
    </row>
    <row r="2" spans="1:12">
      <c r="A2" s="3" t="s">
        <v>223</v>
      </c>
      <c r="B2" s="5">
        <v>46024</v>
      </c>
      <c r="C2" s="3" t="s">
        <v>224</v>
      </c>
      <c r="D2" s="3" t="str">
        <f>_xlfn.XLOOKUP(C2,Vendors!$B$2:$B$21,Vendors!$A$2:$A$21)</f>
        <v>V001</v>
      </c>
      <c r="E2" s="3" t="s">
        <v>225</v>
      </c>
      <c r="F2" s="3" t="s">
        <v>226</v>
      </c>
      <c r="G2" s="3" t="s">
        <v>58</v>
      </c>
      <c r="H2" s="6">
        <v>984</v>
      </c>
      <c r="I2" s="3" t="s">
        <v>63</v>
      </c>
      <c r="J2" s="3" t="s">
        <v>56</v>
      </c>
      <c r="L2" s="20">
        <f>MAX(Table2[Amount])</f>
        <v>4999</v>
      </c>
    </row>
    <row r="3" spans="1:12">
      <c r="A3" s="3" t="s">
        <v>227</v>
      </c>
      <c r="B3" s="5">
        <v>46027</v>
      </c>
      <c r="C3" s="3" t="s">
        <v>228</v>
      </c>
      <c r="D3" s="3" t="str">
        <f>_xlfn.XLOOKUP(C3,Vendors!$B$2:$B$21,Vendors!$A$2:$A$21)</f>
        <v>V002</v>
      </c>
      <c r="E3" s="3" t="s">
        <v>229</v>
      </c>
      <c r="F3" s="3" t="s">
        <v>230</v>
      </c>
      <c r="G3" s="3" t="s">
        <v>29</v>
      </c>
      <c r="H3" s="6">
        <v>793</v>
      </c>
      <c r="I3" s="3" t="s">
        <v>63</v>
      </c>
      <c r="J3" s="3" t="s">
        <v>20</v>
      </c>
    </row>
    <row r="4" spans="1:12">
      <c r="A4" s="3" t="s">
        <v>231</v>
      </c>
      <c r="B4" s="5">
        <v>46030</v>
      </c>
      <c r="C4" s="3" t="s">
        <v>232</v>
      </c>
      <c r="D4" s="3" t="str">
        <f>_xlfn.XLOOKUP(C4,Vendors!$B$2:$B$21,Vendors!$A$2:$A$21)</f>
        <v>V003</v>
      </c>
      <c r="E4" s="3" t="s">
        <v>233</v>
      </c>
      <c r="F4" s="3" t="s">
        <v>234</v>
      </c>
      <c r="G4" s="3" t="s">
        <v>19</v>
      </c>
      <c r="H4" s="6">
        <v>600</v>
      </c>
      <c r="I4" s="3" t="s">
        <v>63</v>
      </c>
      <c r="J4" s="3" t="s">
        <v>26</v>
      </c>
    </row>
    <row r="5" spans="1:12">
      <c r="A5" s="3" t="s">
        <v>235</v>
      </c>
      <c r="B5" s="5">
        <v>46033</v>
      </c>
      <c r="C5" s="3" t="s">
        <v>236</v>
      </c>
      <c r="D5" s="3" t="str">
        <f>_xlfn.XLOOKUP(C5,Vendors!$B$2:$B$21,Vendors!$A$2:$A$21)</f>
        <v>V004</v>
      </c>
      <c r="E5" s="3" t="s">
        <v>237</v>
      </c>
      <c r="F5" s="3" t="s">
        <v>238</v>
      </c>
      <c r="G5" s="3" t="s">
        <v>13</v>
      </c>
      <c r="H5" s="6">
        <v>4999</v>
      </c>
      <c r="I5" s="3" t="s">
        <v>45</v>
      </c>
      <c r="J5" s="3" t="s">
        <v>239</v>
      </c>
    </row>
    <row r="6" spans="1:12">
      <c r="A6" s="3" t="s">
        <v>240</v>
      </c>
      <c r="B6" s="5">
        <v>46036</v>
      </c>
      <c r="C6" s="3" t="s">
        <v>241</v>
      </c>
      <c r="D6" s="3" t="str">
        <f>_xlfn.XLOOKUP(C6,Vendors!$B$2:$B$21,Vendors!$A$2:$A$21)</f>
        <v>V005</v>
      </c>
      <c r="E6" s="3" t="s">
        <v>242</v>
      </c>
      <c r="F6" s="3" t="s">
        <v>243</v>
      </c>
      <c r="G6" s="3" t="s">
        <v>39</v>
      </c>
      <c r="H6" s="6">
        <v>873</v>
      </c>
      <c r="I6" s="3" t="s">
        <v>63</v>
      </c>
      <c r="J6" s="3" t="s">
        <v>56</v>
      </c>
    </row>
    <row r="7" spans="1:12">
      <c r="A7" s="3" t="s">
        <v>244</v>
      </c>
      <c r="B7" s="5">
        <v>46039</v>
      </c>
      <c r="C7" s="3" t="s">
        <v>245</v>
      </c>
      <c r="D7" s="3" t="str">
        <f>_xlfn.XLOOKUP(C7,Vendors!$B$2:$B$21,Vendors!$A$2:$A$21)</f>
        <v>V006</v>
      </c>
      <c r="E7" s="3" t="s">
        <v>246</v>
      </c>
      <c r="F7" s="3" t="s">
        <v>247</v>
      </c>
      <c r="G7" s="3" t="s">
        <v>58</v>
      </c>
      <c r="H7" s="6">
        <v>502</v>
      </c>
      <c r="I7" s="3" t="s">
        <v>63</v>
      </c>
      <c r="J7" s="3" t="s">
        <v>239</v>
      </c>
    </row>
    <row r="8" spans="1:12">
      <c r="A8" s="3" t="s">
        <v>248</v>
      </c>
      <c r="B8" s="5">
        <v>46042</v>
      </c>
      <c r="C8" s="3" t="s">
        <v>249</v>
      </c>
      <c r="D8" s="3" t="str">
        <f>_xlfn.XLOOKUP(C8,Vendors!$B$2:$B$21,Vendors!$A$2:$A$21)</f>
        <v>V007</v>
      </c>
      <c r="E8" s="3" t="s">
        <v>225</v>
      </c>
      <c r="F8" s="3" t="s">
        <v>250</v>
      </c>
      <c r="G8" s="3" t="s">
        <v>13</v>
      </c>
      <c r="H8" s="6">
        <v>708</v>
      </c>
      <c r="I8" s="3" t="s">
        <v>45</v>
      </c>
      <c r="J8" s="3" t="s">
        <v>20</v>
      </c>
    </row>
    <row r="9" spans="1:12">
      <c r="A9" s="3" t="s">
        <v>251</v>
      </c>
      <c r="B9" s="5">
        <v>46045</v>
      </c>
      <c r="C9" s="3" t="s">
        <v>252</v>
      </c>
      <c r="D9" s="3" t="str">
        <f>_xlfn.XLOOKUP(C9,Vendors!$B$2:$B$21,Vendors!$A$2:$A$21)</f>
        <v>V008</v>
      </c>
      <c r="E9" s="3" t="s">
        <v>246</v>
      </c>
      <c r="F9" s="3" t="s">
        <v>247</v>
      </c>
      <c r="G9" s="3" t="s">
        <v>29</v>
      </c>
      <c r="H9" s="6">
        <v>790</v>
      </c>
      <c r="I9" s="3" t="s">
        <v>63</v>
      </c>
      <c r="J9" s="3" t="s">
        <v>56</v>
      </c>
    </row>
    <row r="10" spans="1:12">
      <c r="A10" s="3" t="s">
        <v>253</v>
      </c>
      <c r="B10" s="5">
        <v>46048</v>
      </c>
      <c r="C10" s="3" t="s">
        <v>254</v>
      </c>
      <c r="D10" s="3" t="str">
        <f>_xlfn.XLOOKUP(C10,Vendors!$B$2:$B$21,Vendors!$A$2:$A$21)</f>
        <v>V009</v>
      </c>
      <c r="E10" s="3" t="s">
        <v>255</v>
      </c>
      <c r="F10" s="3" t="s">
        <v>256</v>
      </c>
      <c r="G10" s="3" t="s">
        <v>58</v>
      </c>
      <c r="H10" s="6">
        <v>788</v>
      </c>
      <c r="I10" s="3" t="s">
        <v>63</v>
      </c>
      <c r="J10" s="3" t="s">
        <v>56</v>
      </c>
    </row>
    <row r="11" spans="1:12">
      <c r="A11" s="3" t="s">
        <v>257</v>
      </c>
      <c r="B11" s="5">
        <v>46051</v>
      </c>
      <c r="C11" s="3" t="s">
        <v>245</v>
      </c>
      <c r="D11" s="3" t="str">
        <f>_xlfn.XLOOKUP(C11,Vendors!$B$2:$B$21,Vendors!$A$2:$A$21)</f>
        <v>V006</v>
      </c>
      <c r="E11" s="3" t="s">
        <v>242</v>
      </c>
      <c r="F11" s="3" t="s">
        <v>258</v>
      </c>
      <c r="G11" s="3" t="s">
        <v>19</v>
      </c>
      <c r="H11" s="6">
        <v>537</v>
      </c>
      <c r="I11" s="3" t="s">
        <v>45</v>
      </c>
      <c r="J11" s="3" t="s">
        <v>20</v>
      </c>
    </row>
    <row r="12" spans="1:12">
      <c r="A12" s="3" t="s">
        <v>259</v>
      </c>
      <c r="B12" s="5">
        <v>46054</v>
      </c>
      <c r="C12" s="3" t="s">
        <v>260</v>
      </c>
      <c r="D12" s="3" t="str">
        <f>_xlfn.XLOOKUP(C12,Vendors!$B$2:$B$21,Vendors!$A$2:$A$21)</f>
        <v>V010</v>
      </c>
      <c r="E12" s="3" t="s">
        <v>261</v>
      </c>
      <c r="F12" s="3" t="s">
        <v>262</v>
      </c>
      <c r="G12" s="3" t="s">
        <v>19</v>
      </c>
      <c r="H12" s="6">
        <v>191</v>
      </c>
      <c r="I12" s="3" t="s">
        <v>63</v>
      </c>
      <c r="J12" s="3" t="s">
        <v>56</v>
      </c>
    </row>
    <row r="13" spans="1:12">
      <c r="A13" s="3" t="s">
        <v>263</v>
      </c>
      <c r="B13" s="5">
        <v>46057</v>
      </c>
      <c r="C13" s="3" t="s">
        <v>236</v>
      </c>
      <c r="D13" s="3" t="str">
        <f>_xlfn.XLOOKUP(C13,Vendors!$B$2:$B$21,Vendors!$A$2:$A$21)</f>
        <v>V004</v>
      </c>
      <c r="E13" s="3" t="s">
        <v>229</v>
      </c>
      <c r="F13" s="3" t="s">
        <v>230</v>
      </c>
      <c r="G13" s="3" t="s">
        <v>13</v>
      </c>
      <c r="H13" s="6">
        <v>454</v>
      </c>
      <c r="I13" s="3" t="s">
        <v>63</v>
      </c>
      <c r="J13" s="3" t="s">
        <v>239</v>
      </c>
    </row>
    <row r="14" spans="1:12">
      <c r="A14" s="3" t="s">
        <v>264</v>
      </c>
      <c r="B14" s="5">
        <v>46060</v>
      </c>
      <c r="C14" s="3" t="s">
        <v>249</v>
      </c>
      <c r="D14" s="3" t="str">
        <f>_xlfn.XLOOKUP(C14,Vendors!$B$2:$B$21,Vendors!$A$2:$A$21)</f>
        <v>V007</v>
      </c>
      <c r="E14" s="3" t="s">
        <v>242</v>
      </c>
      <c r="F14" s="3" t="s">
        <v>243</v>
      </c>
      <c r="G14" s="3" t="s">
        <v>13</v>
      </c>
      <c r="H14" s="6">
        <v>1268</v>
      </c>
      <c r="I14" s="3" t="s">
        <v>45</v>
      </c>
      <c r="J14" s="3" t="s">
        <v>56</v>
      </c>
    </row>
    <row r="15" spans="1:12">
      <c r="A15" s="3" t="s">
        <v>265</v>
      </c>
      <c r="B15" s="5">
        <v>46063</v>
      </c>
      <c r="C15" s="3" t="s">
        <v>266</v>
      </c>
      <c r="D15" s="3" t="str">
        <f>_xlfn.XLOOKUP(C15,Vendors!$B$2:$B$21,Vendors!$A$2:$A$21)</f>
        <v>V011</v>
      </c>
      <c r="E15" s="3" t="s">
        <v>261</v>
      </c>
      <c r="F15" s="3" t="s">
        <v>262</v>
      </c>
      <c r="G15" s="3" t="s">
        <v>39</v>
      </c>
      <c r="H15" s="6">
        <v>163</v>
      </c>
      <c r="I15" s="3" t="s">
        <v>45</v>
      </c>
      <c r="J15" s="3" t="s">
        <v>239</v>
      </c>
    </row>
    <row r="16" spans="1:12">
      <c r="A16" s="3" t="s">
        <v>267</v>
      </c>
      <c r="B16" s="5">
        <v>46066</v>
      </c>
      <c r="C16" s="3" t="s">
        <v>241</v>
      </c>
      <c r="D16" s="3" t="str">
        <f>_xlfn.XLOOKUP(C16,Vendors!$B$2:$B$21,Vendors!$A$2:$A$21)</f>
        <v>V005</v>
      </c>
      <c r="E16" s="3" t="s">
        <v>268</v>
      </c>
      <c r="F16" s="3" t="s">
        <v>269</v>
      </c>
      <c r="G16" s="3" t="s">
        <v>19</v>
      </c>
      <c r="H16" s="6">
        <v>580</v>
      </c>
      <c r="I16" s="3" t="s">
        <v>63</v>
      </c>
      <c r="J16" s="3" t="s">
        <v>26</v>
      </c>
    </row>
    <row r="17" spans="1:10">
      <c r="A17" s="3" t="s">
        <v>270</v>
      </c>
      <c r="B17" s="5">
        <v>46069</v>
      </c>
      <c r="C17" s="3" t="s">
        <v>224</v>
      </c>
      <c r="D17" s="3" t="str">
        <f>_xlfn.XLOOKUP(C17,Vendors!$B$2:$B$21,Vendors!$A$2:$A$21)</f>
        <v>V001</v>
      </c>
      <c r="E17" s="3" t="s">
        <v>271</v>
      </c>
      <c r="F17" s="3" t="s">
        <v>272</v>
      </c>
      <c r="G17" s="3" t="s">
        <v>39</v>
      </c>
      <c r="H17" s="6">
        <v>829</v>
      </c>
      <c r="I17" s="3" t="s">
        <v>45</v>
      </c>
      <c r="J17" s="3" t="s">
        <v>239</v>
      </c>
    </row>
    <row r="18" spans="1:10">
      <c r="A18" s="3" t="s">
        <v>273</v>
      </c>
      <c r="B18" s="5">
        <v>46072</v>
      </c>
      <c r="C18" s="3" t="s">
        <v>274</v>
      </c>
      <c r="D18" s="3" t="str">
        <f>_xlfn.XLOOKUP(C18,Vendors!$B$2:$B$21,Vendors!$A$2:$A$21)</f>
        <v>V012</v>
      </c>
      <c r="E18" s="3" t="s">
        <v>275</v>
      </c>
      <c r="F18" s="3" t="s">
        <v>276</v>
      </c>
      <c r="G18" s="3" t="s">
        <v>50</v>
      </c>
      <c r="H18" s="6">
        <v>1596</v>
      </c>
      <c r="I18" s="3" t="s">
        <v>45</v>
      </c>
      <c r="J18" s="3" t="s">
        <v>56</v>
      </c>
    </row>
    <row r="19" spans="1:10">
      <c r="A19" s="3" t="s">
        <v>277</v>
      </c>
      <c r="B19" s="5">
        <v>46075</v>
      </c>
      <c r="C19" s="3" t="s">
        <v>228</v>
      </c>
      <c r="D19" s="3" t="str">
        <f>_xlfn.XLOOKUP(C19,Vendors!$B$2:$B$21,Vendors!$A$2:$A$21)</f>
        <v>V002</v>
      </c>
      <c r="E19" s="3" t="s">
        <v>261</v>
      </c>
      <c r="F19" s="3" t="s">
        <v>262</v>
      </c>
      <c r="G19" s="3" t="s">
        <v>13</v>
      </c>
      <c r="H19" s="6">
        <v>284</v>
      </c>
      <c r="I19" s="3" t="s">
        <v>63</v>
      </c>
      <c r="J19" s="3" t="s">
        <v>239</v>
      </c>
    </row>
    <row r="20" spans="1:10">
      <c r="A20" s="3" t="s">
        <v>278</v>
      </c>
      <c r="B20" s="5">
        <v>46078</v>
      </c>
      <c r="C20" s="3" t="s">
        <v>245</v>
      </c>
      <c r="D20" s="3" t="str">
        <f>_xlfn.XLOOKUP(C20,Vendors!$B$2:$B$21,Vendors!$A$2:$A$21)</f>
        <v>V006</v>
      </c>
      <c r="E20" s="3" t="s">
        <v>246</v>
      </c>
      <c r="F20" s="3" t="s">
        <v>247</v>
      </c>
      <c r="G20" s="3" t="s">
        <v>58</v>
      </c>
      <c r="H20" s="6">
        <v>584</v>
      </c>
      <c r="I20" s="3" t="s">
        <v>63</v>
      </c>
      <c r="J20" s="3" t="s">
        <v>56</v>
      </c>
    </row>
    <row r="21" spans="1:10">
      <c r="A21" s="3" t="s">
        <v>279</v>
      </c>
      <c r="B21" s="5">
        <v>46081</v>
      </c>
      <c r="C21" s="3" t="s">
        <v>280</v>
      </c>
      <c r="D21" s="3" t="str">
        <f>_xlfn.XLOOKUP(C21,Vendors!$B$2:$B$21,Vendors!$A$2:$A$21)</f>
        <v>V013</v>
      </c>
      <c r="E21" s="3" t="s">
        <v>271</v>
      </c>
      <c r="F21" s="3" t="s">
        <v>281</v>
      </c>
      <c r="G21" s="3" t="s">
        <v>19</v>
      </c>
      <c r="H21" s="6">
        <v>1123</v>
      </c>
      <c r="I21" s="3" t="s">
        <v>45</v>
      </c>
      <c r="J21" s="3" t="s">
        <v>26</v>
      </c>
    </row>
    <row r="22" spans="1:10">
      <c r="A22" s="3" t="s">
        <v>282</v>
      </c>
      <c r="B22" s="5">
        <v>46084</v>
      </c>
      <c r="C22" s="3" t="s">
        <v>232</v>
      </c>
      <c r="D22" s="3" t="str">
        <f>_xlfn.XLOOKUP(C22,Vendors!$B$2:$B$21,Vendors!$A$2:$A$21)</f>
        <v>V003</v>
      </c>
      <c r="E22" s="3" t="s">
        <v>242</v>
      </c>
      <c r="F22" s="3" t="s">
        <v>283</v>
      </c>
      <c r="G22" s="3" t="s">
        <v>58</v>
      </c>
      <c r="H22" s="6">
        <v>1479</v>
      </c>
      <c r="I22" s="3" t="s">
        <v>45</v>
      </c>
      <c r="J22" s="3" t="s">
        <v>20</v>
      </c>
    </row>
    <row r="23" spans="1:10">
      <c r="A23" s="3" t="s">
        <v>284</v>
      </c>
      <c r="B23" s="5">
        <v>46087</v>
      </c>
      <c r="C23" s="3" t="s">
        <v>249</v>
      </c>
      <c r="D23" s="3" t="str">
        <f>_xlfn.XLOOKUP(C23,Vendors!$B$2:$B$21,Vendors!$A$2:$A$21)</f>
        <v>V007</v>
      </c>
      <c r="E23" s="3" t="s">
        <v>275</v>
      </c>
      <c r="F23" s="3" t="s">
        <v>276</v>
      </c>
      <c r="G23" s="3" t="s">
        <v>19</v>
      </c>
      <c r="H23" s="6">
        <v>2803</v>
      </c>
      <c r="I23" s="3" t="s">
        <v>63</v>
      </c>
      <c r="J23" s="3" t="s">
        <v>56</v>
      </c>
    </row>
    <row r="24" spans="1:10">
      <c r="A24" s="3" t="s">
        <v>285</v>
      </c>
      <c r="B24" s="5">
        <v>46090</v>
      </c>
      <c r="C24" s="3" t="s">
        <v>236</v>
      </c>
      <c r="D24" s="3" t="str">
        <f>_xlfn.XLOOKUP(C24,Vendors!$B$2:$B$21,Vendors!$A$2:$A$21)</f>
        <v>V004</v>
      </c>
      <c r="E24" s="3" t="s">
        <v>225</v>
      </c>
      <c r="F24" s="3" t="s">
        <v>250</v>
      </c>
      <c r="G24" s="3" t="s">
        <v>13</v>
      </c>
      <c r="H24" s="6">
        <v>809</v>
      </c>
      <c r="I24" s="3" t="s">
        <v>45</v>
      </c>
      <c r="J24" s="3" t="s">
        <v>56</v>
      </c>
    </row>
    <row r="25" spans="1:10">
      <c r="A25" s="3" t="s">
        <v>286</v>
      </c>
      <c r="B25" s="5">
        <v>46093</v>
      </c>
      <c r="C25" s="3" t="s">
        <v>232</v>
      </c>
      <c r="D25" s="3" t="str">
        <f>_xlfn.XLOOKUP(C25,Vendors!$B$2:$B$21,Vendors!$A$2:$A$21)</f>
        <v>V003</v>
      </c>
      <c r="E25" s="3" t="s">
        <v>271</v>
      </c>
      <c r="F25" s="3" t="s">
        <v>281</v>
      </c>
      <c r="G25" s="3" t="s">
        <v>50</v>
      </c>
      <c r="H25" s="6">
        <v>1126</v>
      </c>
      <c r="I25" s="3" t="s">
        <v>63</v>
      </c>
      <c r="J25" s="3" t="s">
        <v>26</v>
      </c>
    </row>
    <row r="26" spans="1:10">
      <c r="A26" s="3" t="s">
        <v>287</v>
      </c>
      <c r="B26" s="5">
        <v>46096</v>
      </c>
      <c r="C26" s="3" t="s">
        <v>236</v>
      </c>
      <c r="D26" s="3" t="str">
        <f>_xlfn.XLOOKUP(C26,Vendors!$B$2:$B$21,Vendors!$A$2:$A$21)</f>
        <v>V004</v>
      </c>
      <c r="E26" s="3" t="s">
        <v>233</v>
      </c>
      <c r="F26" s="3" t="s">
        <v>234</v>
      </c>
      <c r="G26" s="3" t="s">
        <v>29</v>
      </c>
      <c r="H26" s="6">
        <v>354</v>
      </c>
      <c r="I26" s="3" t="s">
        <v>63</v>
      </c>
      <c r="J26" s="3" t="s">
        <v>239</v>
      </c>
    </row>
    <row r="27" spans="1:10">
      <c r="A27" s="3" t="s">
        <v>288</v>
      </c>
      <c r="B27" s="5">
        <v>46099</v>
      </c>
      <c r="C27" s="3" t="s">
        <v>289</v>
      </c>
      <c r="D27" s="3" t="str">
        <f>_xlfn.XLOOKUP(C27,Vendors!$B$2:$B$21,Vendors!$A$2:$A$21)</f>
        <v>V014</v>
      </c>
      <c r="E27" s="3" t="s">
        <v>255</v>
      </c>
      <c r="F27" s="3" t="s">
        <v>290</v>
      </c>
      <c r="G27" s="3" t="s">
        <v>19</v>
      </c>
      <c r="H27" s="6">
        <v>855</v>
      </c>
      <c r="I27" s="3" t="s">
        <v>63</v>
      </c>
      <c r="J27" s="3" t="s">
        <v>56</v>
      </c>
    </row>
    <row r="28" spans="1:10">
      <c r="A28" s="3" t="s">
        <v>291</v>
      </c>
      <c r="B28" s="5">
        <v>46102</v>
      </c>
      <c r="C28" s="3" t="s">
        <v>224</v>
      </c>
      <c r="D28" s="3" t="str">
        <f>_xlfn.XLOOKUP(C28,Vendors!$B$2:$B$21,Vendors!$A$2:$A$21)</f>
        <v>V001</v>
      </c>
      <c r="E28" s="3" t="s">
        <v>275</v>
      </c>
      <c r="F28" s="3" t="s">
        <v>276</v>
      </c>
      <c r="G28" s="3" t="s">
        <v>29</v>
      </c>
      <c r="H28" s="6">
        <v>1385</v>
      </c>
      <c r="I28" s="3" t="s">
        <v>63</v>
      </c>
      <c r="J28" s="3" t="s">
        <v>20</v>
      </c>
    </row>
    <row r="29" spans="1:10">
      <c r="A29" s="3" t="s">
        <v>292</v>
      </c>
      <c r="B29" s="5">
        <v>46105</v>
      </c>
      <c r="C29" s="3" t="s">
        <v>236</v>
      </c>
      <c r="D29" s="3" t="str">
        <f>_xlfn.XLOOKUP(C29,Vendors!$B$2:$B$21,Vendors!$A$2:$A$21)</f>
        <v>V004</v>
      </c>
      <c r="E29" s="3" t="s">
        <v>261</v>
      </c>
      <c r="F29" s="3" t="s">
        <v>262</v>
      </c>
      <c r="G29" s="3" t="s">
        <v>19</v>
      </c>
      <c r="H29" s="6">
        <v>351</v>
      </c>
      <c r="I29" s="3" t="s">
        <v>45</v>
      </c>
      <c r="J29" s="3" t="s">
        <v>20</v>
      </c>
    </row>
    <row r="30" spans="1:10">
      <c r="A30" s="3" t="s">
        <v>293</v>
      </c>
      <c r="B30" s="5">
        <v>46108</v>
      </c>
      <c r="C30" s="3" t="s">
        <v>294</v>
      </c>
      <c r="D30" s="3" t="str">
        <f>_xlfn.XLOOKUP(C30,Vendors!$B$2:$B$21,Vendors!$A$2:$A$21)</f>
        <v>V015</v>
      </c>
      <c r="E30" s="3" t="s">
        <v>237</v>
      </c>
      <c r="F30" s="3" t="s">
        <v>295</v>
      </c>
      <c r="G30" s="3" t="s">
        <v>39</v>
      </c>
      <c r="H30" s="6">
        <v>1821</v>
      </c>
      <c r="I30" s="3" t="s">
        <v>63</v>
      </c>
      <c r="J30" s="3" t="s">
        <v>239</v>
      </c>
    </row>
    <row r="31" spans="1:10">
      <c r="A31" s="3" t="s">
        <v>296</v>
      </c>
      <c r="B31" s="5">
        <v>46111</v>
      </c>
      <c r="C31" s="3" t="s">
        <v>274</v>
      </c>
      <c r="D31" s="3" t="str">
        <f>_xlfn.XLOOKUP(C31,Vendors!$B$2:$B$21,Vendors!$A$2:$A$21)</f>
        <v>V012</v>
      </c>
      <c r="E31" s="3" t="s">
        <v>229</v>
      </c>
      <c r="F31" s="3" t="s">
        <v>230</v>
      </c>
      <c r="G31" s="3" t="s">
        <v>13</v>
      </c>
      <c r="H31" s="6">
        <v>356</v>
      </c>
      <c r="I31" s="3" t="s">
        <v>45</v>
      </c>
      <c r="J31" s="3" t="s">
        <v>239</v>
      </c>
    </row>
    <row r="32" spans="1:10">
      <c r="A32" s="3" t="s">
        <v>297</v>
      </c>
      <c r="B32" s="5">
        <v>46114</v>
      </c>
      <c r="C32" s="3" t="s">
        <v>266</v>
      </c>
      <c r="D32" s="3" t="str">
        <f>_xlfn.XLOOKUP(C32,Vendors!$B$2:$B$21,Vendors!$A$2:$A$21)</f>
        <v>V011</v>
      </c>
      <c r="E32" s="3" t="s">
        <v>298</v>
      </c>
      <c r="F32" s="3" t="s">
        <v>299</v>
      </c>
      <c r="G32" s="3" t="s">
        <v>39</v>
      </c>
      <c r="H32" s="6">
        <v>312</v>
      </c>
      <c r="I32" s="3" t="s">
        <v>63</v>
      </c>
      <c r="J32" s="3" t="s">
        <v>20</v>
      </c>
    </row>
    <row r="33" spans="1:10">
      <c r="A33" s="3" t="s">
        <v>300</v>
      </c>
      <c r="B33" s="5">
        <v>46117</v>
      </c>
      <c r="C33" s="3" t="s">
        <v>228</v>
      </c>
      <c r="D33" s="3" t="str">
        <f>_xlfn.XLOOKUP(C33,Vendors!$B$2:$B$21,Vendors!$A$2:$A$21)</f>
        <v>V002</v>
      </c>
      <c r="E33" s="3" t="s">
        <v>246</v>
      </c>
      <c r="F33" s="3" t="s">
        <v>247</v>
      </c>
      <c r="G33" s="3" t="s">
        <v>50</v>
      </c>
      <c r="H33" s="6">
        <v>461</v>
      </c>
      <c r="I33" s="3" t="s">
        <v>63</v>
      </c>
      <c r="J33" s="3" t="s">
        <v>56</v>
      </c>
    </row>
    <row r="34" spans="1:10">
      <c r="A34" s="3" t="s">
        <v>301</v>
      </c>
      <c r="B34" s="5">
        <v>46120</v>
      </c>
      <c r="C34" s="3" t="s">
        <v>302</v>
      </c>
      <c r="D34" s="3" t="str">
        <f>_xlfn.XLOOKUP(C34,Vendors!$B$2:$B$21,Vendors!$A$2:$A$21)</f>
        <v>V016</v>
      </c>
      <c r="E34" s="3" t="s">
        <v>242</v>
      </c>
      <c r="F34" s="3" t="s">
        <v>243</v>
      </c>
      <c r="G34" s="3" t="s">
        <v>50</v>
      </c>
      <c r="H34" s="6">
        <v>293</v>
      </c>
      <c r="I34" s="3" t="s">
        <v>45</v>
      </c>
      <c r="J34" s="3" t="s">
        <v>20</v>
      </c>
    </row>
    <row r="35" spans="1:10">
      <c r="A35" s="3" t="s">
        <v>303</v>
      </c>
      <c r="B35" s="5">
        <v>46123</v>
      </c>
      <c r="C35" s="3" t="s">
        <v>304</v>
      </c>
      <c r="D35" s="3" t="str">
        <f>_xlfn.XLOOKUP(C35,Vendors!$B$2:$B$21,Vendors!$A$2:$A$21)</f>
        <v>V017</v>
      </c>
      <c r="E35" s="3" t="s">
        <v>242</v>
      </c>
      <c r="F35" s="3" t="s">
        <v>283</v>
      </c>
      <c r="G35" s="3" t="s">
        <v>19</v>
      </c>
      <c r="H35" s="6">
        <v>509</v>
      </c>
      <c r="I35" s="3" t="s">
        <v>45</v>
      </c>
      <c r="J35" s="3" t="s">
        <v>56</v>
      </c>
    </row>
    <row r="36" spans="1:10">
      <c r="A36" s="3" t="s">
        <v>305</v>
      </c>
      <c r="B36" s="5">
        <v>46126</v>
      </c>
      <c r="C36" s="3" t="s">
        <v>254</v>
      </c>
      <c r="D36" s="3" t="str">
        <f>_xlfn.XLOOKUP(C36,Vendors!$B$2:$B$21,Vendors!$A$2:$A$21)</f>
        <v>V009</v>
      </c>
      <c r="E36" s="3" t="s">
        <v>275</v>
      </c>
      <c r="F36" s="3" t="s">
        <v>276</v>
      </c>
      <c r="G36" s="3" t="s">
        <v>50</v>
      </c>
      <c r="H36" s="6">
        <v>1907</v>
      </c>
      <c r="I36" s="3" t="s">
        <v>63</v>
      </c>
      <c r="J36" s="3" t="s">
        <v>56</v>
      </c>
    </row>
    <row r="37" spans="1:10">
      <c r="A37" s="3" t="s">
        <v>306</v>
      </c>
      <c r="B37" s="5">
        <v>46129</v>
      </c>
      <c r="C37" s="3" t="s">
        <v>307</v>
      </c>
      <c r="D37" s="3" t="str">
        <f>_xlfn.XLOOKUP(C37,Vendors!$B$2:$B$21,Vendors!$A$2:$A$21)</f>
        <v>V018</v>
      </c>
      <c r="E37" s="3" t="s">
        <v>261</v>
      </c>
      <c r="F37" s="3" t="s">
        <v>262</v>
      </c>
      <c r="G37" s="3" t="s">
        <v>19</v>
      </c>
      <c r="H37" s="6">
        <v>427</v>
      </c>
      <c r="I37" s="3" t="s">
        <v>63</v>
      </c>
      <c r="J37" s="3" t="s">
        <v>239</v>
      </c>
    </row>
    <row r="38" spans="1:10">
      <c r="A38" s="3" t="s">
        <v>308</v>
      </c>
      <c r="B38" s="5">
        <v>46132</v>
      </c>
      <c r="C38" s="3" t="s">
        <v>307</v>
      </c>
      <c r="D38" s="3" t="str">
        <f>_xlfn.XLOOKUP(C38,Vendors!$B$2:$B$21,Vendors!$A$2:$A$21)</f>
        <v>V018</v>
      </c>
      <c r="E38" s="3" t="s">
        <v>255</v>
      </c>
      <c r="F38" s="3" t="s">
        <v>256</v>
      </c>
      <c r="G38" s="3" t="s">
        <v>50</v>
      </c>
      <c r="H38" s="6">
        <v>971</v>
      </c>
      <c r="I38" s="3" t="s">
        <v>63</v>
      </c>
      <c r="J38" s="3" t="s">
        <v>26</v>
      </c>
    </row>
    <row r="39" spans="1:10">
      <c r="A39" s="3" t="s">
        <v>309</v>
      </c>
      <c r="B39" s="5">
        <v>46135</v>
      </c>
      <c r="C39" s="3" t="s">
        <v>260</v>
      </c>
      <c r="D39" s="3" t="str">
        <f>_xlfn.XLOOKUP(C39,Vendors!$B$2:$B$21,Vendors!$A$2:$A$21)</f>
        <v>V010</v>
      </c>
      <c r="E39" s="3" t="s">
        <v>271</v>
      </c>
      <c r="F39" s="3" t="s">
        <v>272</v>
      </c>
      <c r="G39" s="3" t="s">
        <v>19</v>
      </c>
      <c r="H39" s="6">
        <v>2047</v>
      </c>
      <c r="I39" s="3" t="s">
        <v>63</v>
      </c>
      <c r="J39" s="3" t="s">
        <v>239</v>
      </c>
    </row>
    <row r="40" spans="1:10">
      <c r="A40" s="3" t="s">
        <v>310</v>
      </c>
      <c r="B40" s="5">
        <v>46138</v>
      </c>
      <c r="C40" s="3" t="s">
        <v>266</v>
      </c>
      <c r="D40" s="3" t="str">
        <f>_xlfn.XLOOKUP(C40,Vendors!$B$2:$B$21,Vendors!$A$2:$A$21)</f>
        <v>V011</v>
      </c>
      <c r="E40" s="3" t="s">
        <v>311</v>
      </c>
      <c r="F40" s="3" t="s">
        <v>312</v>
      </c>
      <c r="G40" s="3" t="s">
        <v>29</v>
      </c>
      <c r="H40" s="6">
        <v>910</v>
      </c>
      <c r="I40" s="3" t="s">
        <v>45</v>
      </c>
      <c r="J40" s="3" t="s">
        <v>20</v>
      </c>
    </row>
    <row r="41" spans="1:10">
      <c r="A41" s="3" t="s">
        <v>313</v>
      </c>
      <c r="B41" s="5">
        <v>46141</v>
      </c>
      <c r="C41" s="3" t="s">
        <v>245</v>
      </c>
      <c r="D41" s="3" t="str">
        <f>_xlfn.XLOOKUP(C41,Vendors!$B$2:$B$21,Vendors!$A$2:$A$21)</f>
        <v>V006</v>
      </c>
      <c r="E41" s="3" t="s">
        <v>229</v>
      </c>
      <c r="F41" s="3" t="s">
        <v>230</v>
      </c>
      <c r="G41" s="3" t="s">
        <v>39</v>
      </c>
      <c r="H41" s="6">
        <v>431</v>
      </c>
      <c r="I41" s="3" t="s">
        <v>45</v>
      </c>
      <c r="J41" s="3" t="s">
        <v>56</v>
      </c>
    </row>
    <row r="42" spans="1:10">
      <c r="A42" s="3" t="s">
        <v>314</v>
      </c>
      <c r="B42" s="5">
        <v>46144</v>
      </c>
      <c r="C42" s="3" t="s">
        <v>315</v>
      </c>
      <c r="D42" s="3" t="str">
        <f>_xlfn.XLOOKUP(C42,Vendors!$B$2:$B$21,Vendors!$A$2:$A$21)</f>
        <v>V019</v>
      </c>
      <c r="E42" s="3" t="s">
        <v>271</v>
      </c>
      <c r="F42" s="3" t="s">
        <v>272</v>
      </c>
      <c r="G42" s="3" t="s">
        <v>58</v>
      </c>
      <c r="H42" s="6">
        <v>1795</v>
      </c>
      <c r="I42" s="3" t="s">
        <v>63</v>
      </c>
      <c r="J42" s="3" t="s">
        <v>239</v>
      </c>
    </row>
    <row r="43" spans="1:10">
      <c r="A43" s="3" t="s">
        <v>316</v>
      </c>
      <c r="B43" s="5">
        <v>46147</v>
      </c>
      <c r="C43" s="3" t="s">
        <v>254</v>
      </c>
      <c r="D43" s="3" t="str">
        <f>_xlfn.XLOOKUP(C43,Vendors!$B$2:$B$21,Vendors!$A$2:$A$21)</f>
        <v>V009</v>
      </c>
      <c r="E43" s="3" t="s">
        <v>311</v>
      </c>
      <c r="F43" s="3" t="s">
        <v>312</v>
      </c>
      <c r="G43" s="3" t="s">
        <v>39</v>
      </c>
      <c r="H43" s="6">
        <v>1214</v>
      </c>
      <c r="I43" s="3" t="s">
        <v>63</v>
      </c>
      <c r="J43" s="3" t="s">
        <v>20</v>
      </c>
    </row>
    <row r="44" spans="1:10">
      <c r="A44" s="3" t="s">
        <v>317</v>
      </c>
      <c r="B44" s="5">
        <v>46150</v>
      </c>
      <c r="C44" s="3" t="s">
        <v>315</v>
      </c>
      <c r="D44" s="3" t="str">
        <f>_xlfn.XLOOKUP(C44,Vendors!$B$2:$B$21,Vendors!$A$2:$A$21)</f>
        <v>V019</v>
      </c>
      <c r="E44" s="3" t="s">
        <v>311</v>
      </c>
      <c r="F44" s="3" t="s">
        <v>312</v>
      </c>
      <c r="G44" s="3" t="s">
        <v>58</v>
      </c>
      <c r="H44" s="6">
        <v>1187</v>
      </c>
      <c r="I44" s="3" t="s">
        <v>45</v>
      </c>
      <c r="J44" s="3" t="s">
        <v>239</v>
      </c>
    </row>
    <row r="45" spans="1:10">
      <c r="A45" s="3" t="s">
        <v>318</v>
      </c>
      <c r="B45" s="5">
        <v>46153</v>
      </c>
      <c r="C45" s="3" t="s">
        <v>289</v>
      </c>
      <c r="D45" s="3" t="str">
        <f>_xlfn.XLOOKUP(C45,Vendors!$B$2:$B$21,Vendors!$A$2:$A$21)</f>
        <v>V014</v>
      </c>
      <c r="E45" s="3" t="s">
        <v>275</v>
      </c>
      <c r="F45" s="3" t="s">
        <v>319</v>
      </c>
      <c r="G45" s="3" t="s">
        <v>13</v>
      </c>
      <c r="H45" s="6">
        <v>2855</v>
      </c>
      <c r="I45" s="3" t="s">
        <v>63</v>
      </c>
      <c r="J45" s="3" t="s">
        <v>56</v>
      </c>
    </row>
    <row r="46" spans="1:10">
      <c r="A46" s="3" t="s">
        <v>320</v>
      </c>
      <c r="B46" s="5">
        <v>46156</v>
      </c>
      <c r="C46" s="3" t="s">
        <v>252</v>
      </c>
      <c r="D46" s="3" t="str">
        <f>_xlfn.XLOOKUP(C46,Vendors!$B$2:$B$21,Vendors!$A$2:$A$21)</f>
        <v>V008</v>
      </c>
      <c r="E46" s="3" t="s">
        <v>255</v>
      </c>
      <c r="F46" s="3" t="s">
        <v>290</v>
      </c>
      <c r="G46" s="3" t="s">
        <v>19</v>
      </c>
      <c r="H46" s="6">
        <v>1437</v>
      </c>
      <c r="I46" s="3" t="s">
        <v>45</v>
      </c>
      <c r="J46" s="3" t="s">
        <v>56</v>
      </c>
    </row>
    <row r="47" spans="1:10">
      <c r="A47" s="3" t="s">
        <v>321</v>
      </c>
      <c r="B47" s="5">
        <v>46159</v>
      </c>
      <c r="C47" s="3" t="s">
        <v>322</v>
      </c>
      <c r="D47" s="3" t="str">
        <f>_xlfn.XLOOKUP(C47,Vendors!$B$2:$B$21,Vendors!$A$2:$A$21)</f>
        <v>V020</v>
      </c>
      <c r="E47" s="3" t="s">
        <v>237</v>
      </c>
      <c r="F47" s="3" t="s">
        <v>295</v>
      </c>
      <c r="G47" s="3" t="s">
        <v>39</v>
      </c>
      <c r="H47" s="6">
        <v>2403</v>
      </c>
      <c r="I47" s="3" t="s">
        <v>45</v>
      </c>
      <c r="J47" s="3" t="s">
        <v>239</v>
      </c>
    </row>
    <row r="48" spans="1:10">
      <c r="A48" s="3" t="s">
        <v>323</v>
      </c>
      <c r="B48" s="5">
        <v>46162</v>
      </c>
      <c r="C48" s="3" t="s">
        <v>228</v>
      </c>
      <c r="D48" s="3" t="str">
        <f>_xlfn.XLOOKUP(C48,Vendors!$B$2:$B$21,Vendors!$A$2:$A$21)</f>
        <v>V002</v>
      </c>
      <c r="E48" s="3" t="s">
        <v>233</v>
      </c>
      <c r="F48" s="3" t="s">
        <v>324</v>
      </c>
      <c r="G48" s="3" t="s">
        <v>19</v>
      </c>
      <c r="H48" s="6">
        <v>267</v>
      </c>
      <c r="I48" s="3" t="s">
        <v>63</v>
      </c>
      <c r="J48" s="3" t="s">
        <v>26</v>
      </c>
    </row>
    <row r="49" spans="1:10">
      <c r="A49" s="3" t="s">
        <v>325</v>
      </c>
      <c r="B49" s="5">
        <v>46165</v>
      </c>
      <c r="C49" s="3" t="s">
        <v>289</v>
      </c>
      <c r="D49" s="3" t="str">
        <f>_xlfn.XLOOKUP(C49,Vendors!$B$2:$B$21,Vendors!$A$2:$A$21)</f>
        <v>V014</v>
      </c>
      <c r="E49" s="3" t="s">
        <v>261</v>
      </c>
      <c r="F49" s="3" t="s">
        <v>262</v>
      </c>
      <c r="G49" s="3" t="s">
        <v>19</v>
      </c>
      <c r="H49" s="6">
        <v>872</v>
      </c>
      <c r="I49" s="3" t="s">
        <v>63</v>
      </c>
      <c r="J49" s="3" t="s">
        <v>20</v>
      </c>
    </row>
    <row r="50" spans="1:10">
      <c r="A50" s="3" t="s">
        <v>326</v>
      </c>
      <c r="B50" s="5">
        <v>46168</v>
      </c>
      <c r="C50" s="3" t="s">
        <v>224</v>
      </c>
      <c r="D50" s="3" t="str">
        <f>_xlfn.XLOOKUP(C50,Vendors!$B$2:$B$21,Vendors!$A$2:$A$21)</f>
        <v>V001</v>
      </c>
      <c r="E50" s="3" t="s">
        <v>255</v>
      </c>
      <c r="F50" s="3" t="s">
        <v>327</v>
      </c>
      <c r="G50" s="3" t="s">
        <v>19</v>
      </c>
      <c r="H50" s="6">
        <v>991</v>
      </c>
      <c r="I50" s="3" t="s">
        <v>63</v>
      </c>
      <c r="J50" s="3" t="s">
        <v>26</v>
      </c>
    </row>
    <row r="51" spans="1:10">
      <c r="A51" s="3" t="s">
        <v>328</v>
      </c>
      <c r="B51" s="5">
        <v>46171</v>
      </c>
      <c r="C51" s="3" t="s">
        <v>304</v>
      </c>
      <c r="D51" s="3" t="str">
        <f>_xlfn.XLOOKUP(C51,Vendors!$B$2:$B$21,Vendors!$A$2:$A$21)</f>
        <v>V017</v>
      </c>
      <c r="E51" s="3" t="s">
        <v>329</v>
      </c>
      <c r="F51" s="3" t="s">
        <v>330</v>
      </c>
      <c r="G51" s="3" t="s">
        <v>29</v>
      </c>
      <c r="H51" s="6">
        <v>1125</v>
      </c>
      <c r="I51" s="3" t="s">
        <v>63</v>
      </c>
      <c r="J51" s="3" t="s">
        <v>20</v>
      </c>
    </row>
    <row r="52" spans="1:10">
      <c r="A52" s="3" t="s">
        <v>331</v>
      </c>
      <c r="B52" s="5">
        <v>46174</v>
      </c>
      <c r="C52" s="3" t="s">
        <v>307</v>
      </c>
      <c r="D52" s="3" t="str">
        <f>_xlfn.XLOOKUP(C52,Vendors!$B$2:$B$21,Vendors!$A$2:$A$21)</f>
        <v>V018</v>
      </c>
      <c r="E52" s="3" t="s">
        <v>298</v>
      </c>
      <c r="F52" s="3" t="s">
        <v>332</v>
      </c>
      <c r="G52" s="3" t="s">
        <v>19</v>
      </c>
      <c r="H52" s="6">
        <v>485</v>
      </c>
      <c r="I52" s="3" t="s">
        <v>45</v>
      </c>
      <c r="J52" s="3" t="s">
        <v>56</v>
      </c>
    </row>
    <row r="53" spans="1:10">
      <c r="A53" s="3" t="s">
        <v>333</v>
      </c>
      <c r="B53" s="5">
        <v>46177</v>
      </c>
      <c r="C53" s="3" t="s">
        <v>260</v>
      </c>
      <c r="D53" s="3" t="str">
        <f>_xlfn.XLOOKUP(C53,Vendors!$B$2:$B$21,Vendors!$A$2:$A$21)</f>
        <v>V010</v>
      </c>
      <c r="E53" s="3" t="s">
        <v>229</v>
      </c>
      <c r="F53" s="3" t="s">
        <v>334</v>
      </c>
      <c r="G53" s="3" t="s">
        <v>19</v>
      </c>
      <c r="H53" s="6">
        <v>306</v>
      </c>
      <c r="I53" s="3" t="s">
        <v>63</v>
      </c>
      <c r="J53" s="3" t="s">
        <v>239</v>
      </c>
    </row>
    <row r="54" spans="1:10">
      <c r="A54" s="3" t="s">
        <v>335</v>
      </c>
      <c r="B54" s="5">
        <v>46180</v>
      </c>
      <c r="C54" s="3" t="s">
        <v>228</v>
      </c>
      <c r="D54" s="3" t="str">
        <f>_xlfn.XLOOKUP(C54,Vendors!$B$2:$B$21,Vendors!$A$2:$A$21)</f>
        <v>V002</v>
      </c>
      <c r="E54" s="3" t="s">
        <v>261</v>
      </c>
      <c r="F54" s="3" t="s">
        <v>262</v>
      </c>
      <c r="G54" s="3" t="s">
        <v>58</v>
      </c>
      <c r="H54" s="6">
        <v>275</v>
      </c>
      <c r="I54" s="3" t="s">
        <v>63</v>
      </c>
      <c r="J54" s="3" t="s">
        <v>20</v>
      </c>
    </row>
    <row r="55" spans="1:10">
      <c r="A55" s="3" t="s">
        <v>336</v>
      </c>
      <c r="B55" s="5">
        <v>46183</v>
      </c>
      <c r="C55" s="3" t="s">
        <v>302</v>
      </c>
      <c r="D55" s="3" t="str">
        <f>_xlfn.XLOOKUP(C55,Vendors!$B$2:$B$21,Vendors!$A$2:$A$21)</f>
        <v>V016</v>
      </c>
      <c r="E55" s="3" t="s">
        <v>242</v>
      </c>
      <c r="F55" s="3" t="s">
        <v>283</v>
      </c>
      <c r="G55" s="3" t="s">
        <v>50</v>
      </c>
      <c r="H55" s="6">
        <v>400</v>
      </c>
      <c r="I55" s="3" t="s">
        <v>63</v>
      </c>
      <c r="J55" s="3" t="s">
        <v>56</v>
      </c>
    </row>
    <row r="56" spans="1:10">
      <c r="A56" s="3" t="s">
        <v>337</v>
      </c>
      <c r="B56" s="5">
        <v>46186</v>
      </c>
      <c r="C56" s="3" t="s">
        <v>315</v>
      </c>
      <c r="D56" s="3" t="str">
        <f>_xlfn.XLOOKUP(C56,Vendors!$B$2:$B$21,Vendors!$A$2:$A$21)</f>
        <v>V019</v>
      </c>
      <c r="E56" s="3" t="s">
        <v>229</v>
      </c>
      <c r="F56" s="3" t="s">
        <v>334</v>
      </c>
      <c r="G56" s="3" t="s">
        <v>29</v>
      </c>
      <c r="H56" s="6">
        <v>718</v>
      </c>
      <c r="I56" s="3" t="s">
        <v>45</v>
      </c>
      <c r="J56" s="3" t="s">
        <v>20</v>
      </c>
    </row>
    <row r="57" spans="1:10">
      <c r="A57" s="3" t="s">
        <v>338</v>
      </c>
      <c r="B57" s="5">
        <v>46189</v>
      </c>
      <c r="C57" s="3" t="s">
        <v>249</v>
      </c>
      <c r="D57" s="3" t="str">
        <f>_xlfn.XLOOKUP(C57,Vendors!$B$2:$B$21,Vendors!$A$2:$A$21)</f>
        <v>V007</v>
      </c>
      <c r="E57" s="3" t="s">
        <v>233</v>
      </c>
      <c r="F57" s="3" t="s">
        <v>324</v>
      </c>
      <c r="G57" s="3" t="s">
        <v>19</v>
      </c>
      <c r="H57" s="6">
        <v>54</v>
      </c>
      <c r="I57" s="3" t="s">
        <v>45</v>
      </c>
      <c r="J57" s="3" t="s">
        <v>26</v>
      </c>
    </row>
    <row r="58" spans="1:10">
      <c r="A58" s="3" t="s">
        <v>339</v>
      </c>
      <c r="B58" s="5">
        <v>46192</v>
      </c>
      <c r="C58" s="3" t="s">
        <v>252</v>
      </c>
      <c r="D58" s="3" t="str">
        <f>_xlfn.XLOOKUP(C58,Vendors!$B$2:$B$21,Vendors!$A$2:$A$21)</f>
        <v>V008</v>
      </c>
      <c r="E58" s="3" t="s">
        <v>261</v>
      </c>
      <c r="F58" s="3" t="s">
        <v>262</v>
      </c>
      <c r="G58" s="3" t="s">
        <v>13</v>
      </c>
      <c r="H58" s="6">
        <v>573</v>
      </c>
      <c r="I58" s="3" t="s">
        <v>63</v>
      </c>
      <c r="J58" s="3" t="s">
        <v>26</v>
      </c>
    </row>
    <row r="59" spans="1:10">
      <c r="A59" s="3" t="s">
        <v>340</v>
      </c>
      <c r="B59" s="5">
        <v>46195</v>
      </c>
      <c r="C59" s="3" t="s">
        <v>245</v>
      </c>
      <c r="D59" s="3" t="str">
        <f>_xlfn.XLOOKUP(C59,Vendors!$B$2:$B$21,Vendors!$A$2:$A$21)</f>
        <v>V006</v>
      </c>
      <c r="E59" s="3" t="s">
        <v>246</v>
      </c>
      <c r="F59" s="3" t="s">
        <v>247</v>
      </c>
      <c r="G59" s="3" t="s">
        <v>13</v>
      </c>
      <c r="H59" s="6">
        <v>254</v>
      </c>
      <c r="I59" s="3" t="s">
        <v>45</v>
      </c>
      <c r="J59" s="3" t="s">
        <v>26</v>
      </c>
    </row>
    <row r="60" spans="1:10">
      <c r="A60" s="3" t="s">
        <v>341</v>
      </c>
      <c r="B60" s="5">
        <v>46198</v>
      </c>
      <c r="C60" s="3" t="s">
        <v>307</v>
      </c>
      <c r="D60" s="3" t="str">
        <f>_xlfn.XLOOKUP(C60,Vendors!$B$2:$B$21,Vendors!$A$2:$A$21)</f>
        <v>V018</v>
      </c>
      <c r="E60" s="3" t="s">
        <v>237</v>
      </c>
      <c r="F60" s="3" t="s">
        <v>238</v>
      </c>
      <c r="G60" s="3" t="s">
        <v>29</v>
      </c>
      <c r="H60" s="6">
        <v>2673</v>
      </c>
      <c r="I60" s="3" t="s">
        <v>63</v>
      </c>
      <c r="J60" s="3" t="s">
        <v>56</v>
      </c>
    </row>
    <row r="61" spans="1:10">
      <c r="A61" s="3" t="s">
        <v>342</v>
      </c>
      <c r="B61" s="5">
        <v>46201</v>
      </c>
      <c r="C61" s="3" t="s">
        <v>224</v>
      </c>
      <c r="D61" s="3" t="str">
        <f>_xlfn.XLOOKUP(C61,Vendors!$B$2:$B$21,Vendors!$A$2:$A$21)</f>
        <v>V001</v>
      </c>
      <c r="E61" s="3" t="s">
        <v>261</v>
      </c>
      <c r="F61" s="3" t="s">
        <v>262</v>
      </c>
      <c r="G61" s="3" t="s">
        <v>29</v>
      </c>
      <c r="H61" s="6">
        <v>493</v>
      </c>
      <c r="I61" s="3" t="s">
        <v>63</v>
      </c>
      <c r="J61" s="3" t="s">
        <v>20</v>
      </c>
    </row>
    <row r="62" spans="1:10">
      <c r="A62" s="3" t="s">
        <v>343</v>
      </c>
      <c r="B62" s="5">
        <v>46204</v>
      </c>
      <c r="C62" s="3" t="s">
        <v>307</v>
      </c>
      <c r="D62" s="3" t="str">
        <f>_xlfn.XLOOKUP(C62,Vendors!$B$2:$B$21,Vendors!$A$2:$A$21)</f>
        <v>V018</v>
      </c>
      <c r="E62" s="3" t="s">
        <v>237</v>
      </c>
      <c r="F62" s="3" t="s">
        <v>238</v>
      </c>
      <c r="G62" s="3" t="s">
        <v>13</v>
      </c>
      <c r="H62" s="6">
        <v>4809</v>
      </c>
      <c r="I62" s="3" t="s">
        <v>45</v>
      </c>
      <c r="J62" s="3" t="s">
        <v>26</v>
      </c>
    </row>
    <row r="63" spans="1:10">
      <c r="A63" s="3" t="s">
        <v>344</v>
      </c>
      <c r="B63" s="5">
        <v>46207</v>
      </c>
      <c r="C63" s="3" t="s">
        <v>241</v>
      </c>
      <c r="D63" s="3" t="str">
        <f>_xlfn.XLOOKUP(C63,Vendors!$B$2:$B$21,Vendors!$A$2:$A$21)</f>
        <v>V005</v>
      </c>
      <c r="E63" s="3" t="s">
        <v>255</v>
      </c>
      <c r="F63" s="3" t="s">
        <v>345</v>
      </c>
      <c r="G63" s="3" t="s">
        <v>13</v>
      </c>
      <c r="H63" s="6">
        <v>304</v>
      </c>
      <c r="I63" s="3" t="s">
        <v>45</v>
      </c>
      <c r="J63" s="3" t="s">
        <v>239</v>
      </c>
    </row>
    <row r="64" spans="1:10">
      <c r="A64" s="3" t="s">
        <v>346</v>
      </c>
      <c r="B64" s="5">
        <v>46210</v>
      </c>
      <c r="C64" s="3" t="s">
        <v>228</v>
      </c>
      <c r="D64" s="3" t="str">
        <f>_xlfn.XLOOKUP(C64,Vendors!$B$2:$B$21,Vendors!$A$2:$A$21)</f>
        <v>V002</v>
      </c>
      <c r="E64" s="3" t="s">
        <v>237</v>
      </c>
      <c r="F64" s="3" t="s">
        <v>295</v>
      </c>
      <c r="G64" s="3" t="s">
        <v>39</v>
      </c>
      <c r="H64" s="6">
        <v>4428</v>
      </c>
      <c r="I64" s="3" t="s">
        <v>45</v>
      </c>
      <c r="J64" s="3" t="s">
        <v>239</v>
      </c>
    </row>
    <row r="65" spans="1:10">
      <c r="A65" s="3" t="s">
        <v>347</v>
      </c>
      <c r="B65" s="5">
        <v>46213</v>
      </c>
      <c r="C65" s="3" t="s">
        <v>252</v>
      </c>
      <c r="D65" s="3" t="str">
        <f>_xlfn.XLOOKUP(C65,Vendors!$B$2:$B$21,Vendors!$A$2:$A$21)</f>
        <v>V008</v>
      </c>
      <c r="E65" s="3" t="s">
        <v>298</v>
      </c>
      <c r="F65" s="3" t="s">
        <v>299</v>
      </c>
      <c r="G65" s="3" t="s">
        <v>29</v>
      </c>
      <c r="H65" s="6">
        <v>341</v>
      </c>
      <c r="I65" s="3" t="s">
        <v>63</v>
      </c>
      <c r="J65" s="3" t="s">
        <v>26</v>
      </c>
    </row>
    <row r="66" spans="1:10">
      <c r="A66" s="3" t="s">
        <v>348</v>
      </c>
      <c r="B66" s="5">
        <v>46216</v>
      </c>
      <c r="C66" s="3" t="s">
        <v>241</v>
      </c>
      <c r="D66" s="3" t="str">
        <f>_xlfn.XLOOKUP(C66,Vendors!$B$2:$B$21,Vendors!$A$2:$A$21)</f>
        <v>V005</v>
      </c>
      <c r="E66" s="3" t="s">
        <v>275</v>
      </c>
      <c r="F66" s="3" t="s">
        <v>276</v>
      </c>
      <c r="G66" s="3" t="s">
        <v>39</v>
      </c>
      <c r="H66" s="6">
        <v>1365</v>
      </c>
      <c r="I66" s="3" t="s">
        <v>45</v>
      </c>
      <c r="J66" s="3" t="s">
        <v>56</v>
      </c>
    </row>
    <row r="67" spans="1:10">
      <c r="A67" s="3" t="s">
        <v>349</v>
      </c>
      <c r="B67" s="5">
        <v>46219</v>
      </c>
      <c r="C67" s="3" t="s">
        <v>266</v>
      </c>
      <c r="D67" s="3" t="str">
        <f>_xlfn.XLOOKUP(C67,Vendors!$B$2:$B$21,Vendors!$A$2:$A$21)</f>
        <v>V011</v>
      </c>
      <c r="E67" s="3" t="s">
        <v>233</v>
      </c>
      <c r="F67" s="3" t="s">
        <v>350</v>
      </c>
      <c r="G67" s="3" t="s">
        <v>58</v>
      </c>
      <c r="H67" s="6">
        <v>323</v>
      </c>
      <c r="I67" s="3" t="s">
        <v>63</v>
      </c>
      <c r="J67" s="3" t="s">
        <v>26</v>
      </c>
    </row>
    <row r="68" spans="1:10">
      <c r="A68" s="3" t="s">
        <v>351</v>
      </c>
      <c r="B68" s="5">
        <v>46222</v>
      </c>
      <c r="C68" s="3" t="s">
        <v>294</v>
      </c>
      <c r="D68" s="3" t="str">
        <f>_xlfn.XLOOKUP(C68,Vendors!$B$2:$B$21,Vendors!$A$2:$A$21)</f>
        <v>V015</v>
      </c>
      <c r="E68" s="3" t="s">
        <v>229</v>
      </c>
      <c r="F68" s="3" t="s">
        <v>230</v>
      </c>
      <c r="G68" s="3" t="s">
        <v>39</v>
      </c>
      <c r="H68" s="6">
        <v>171</v>
      </c>
      <c r="I68" s="3" t="s">
        <v>63</v>
      </c>
      <c r="J68" s="3" t="s">
        <v>56</v>
      </c>
    </row>
    <row r="69" spans="1:10">
      <c r="A69" s="3" t="s">
        <v>352</v>
      </c>
      <c r="B69" s="5">
        <v>46225</v>
      </c>
      <c r="C69" s="3" t="s">
        <v>254</v>
      </c>
      <c r="D69" s="3" t="str">
        <f>_xlfn.XLOOKUP(C69,Vendors!$B$2:$B$21,Vendors!$A$2:$A$21)</f>
        <v>V009</v>
      </c>
      <c r="E69" s="3" t="s">
        <v>237</v>
      </c>
      <c r="F69" s="3" t="s">
        <v>238</v>
      </c>
      <c r="G69" s="3" t="s">
        <v>39</v>
      </c>
      <c r="H69" s="6">
        <v>4053</v>
      </c>
      <c r="I69" s="3" t="s">
        <v>45</v>
      </c>
      <c r="J69" s="3" t="s">
        <v>26</v>
      </c>
    </row>
    <row r="70" spans="1:10">
      <c r="A70" s="3" t="s">
        <v>353</v>
      </c>
      <c r="B70" s="5">
        <v>46228</v>
      </c>
      <c r="C70" s="3" t="s">
        <v>322</v>
      </c>
      <c r="D70" s="3" t="str">
        <f>_xlfn.XLOOKUP(C70,Vendors!$B$2:$B$21,Vendors!$A$2:$A$21)</f>
        <v>V020</v>
      </c>
      <c r="E70" s="3" t="s">
        <v>298</v>
      </c>
      <c r="F70" s="3" t="s">
        <v>332</v>
      </c>
      <c r="G70" s="3" t="s">
        <v>58</v>
      </c>
      <c r="H70" s="6">
        <v>885</v>
      </c>
      <c r="I70" s="3" t="s">
        <v>63</v>
      </c>
      <c r="J70" s="3" t="s">
        <v>56</v>
      </c>
    </row>
    <row r="71" spans="1:10">
      <c r="A71" s="3" t="s">
        <v>354</v>
      </c>
      <c r="B71" s="5">
        <v>46231</v>
      </c>
      <c r="C71" s="3" t="s">
        <v>280</v>
      </c>
      <c r="D71" s="3" t="str">
        <f>_xlfn.XLOOKUP(C71,Vendors!$B$2:$B$21,Vendors!$A$2:$A$21)</f>
        <v>V013</v>
      </c>
      <c r="E71" s="3" t="s">
        <v>261</v>
      </c>
      <c r="F71" s="3" t="s">
        <v>262</v>
      </c>
      <c r="G71" s="3" t="s">
        <v>19</v>
      </c>
      <c r="H71" s="6">
        <v>54</v>
      </c>
      <c r="I71" s="3" t="s">
        <v>63</v>
      </c>
      <c r="J71" s="3" t="s">
        <v>239</v>
      </c>
    </row>
    <row r="72" spans="1:10">
      <c r="A72" s="3" t="s">
        <v>355</v>
      </c>
      <c r="B72" s="5">
        <v>46234</v>
      </c>
      <c r="C72" s="3" t="s">
        <v>241</v>
      </c>
      <c r="D72" s="3" t="str">
        <f>_xlfn.XLOOKUP(C72,Vendors!$B$2:$B$21,Vendors!$A$2:$A$21)</f>
        <v>V005</v>
      </c>
      <c r="E72" s="3" t="s">
        <v>329</v>
      </c>
      <c r="F72" s="3" t="s">
        <v>330</v>
      </c>
      <c r="G72" s="3" t="s">
        <v>50</v>
      </c>
      <c r="H72" s="6">
        <v>838</v>
      </c>
      <c r="I72" s="3" t="s">
        <v>63</v>
      </c>
      <c r="J72" s="3" t="s">
        <v>20</v>
      </c>
    </row>
    <row r="73" spans="1:10">
      <c r="A73" s="3" t="s">
        <v>356</v>
      </c>
      <c r="B73" s="5">
        <v>46237</v>
      </c>
      <c r="C73" s="3" t="s">
        <v>274</v>
      </c>
      <c r="D73" s="3" t="str">
        <f>_xlfn.XLOOKUP(C73,Vendors!$B$2:$B$21,Vendors!$A$2:$A$21)</f>
        <v>V012</v>
      </c>
      <c r="E73" s="3" t="s">
        <v>271</v>
      </c>
      <c r="F73" s="3" t="s">
        <v>272</v>
      </c>
      <c r="G73" s="3" t="s">
        <v>13</v>
      </c>
      <c r="H73" s="6">
        <v>1247</v>
      </c>
      <c r="I73" s="3" t="s">
        <v>63</v>
      </c>
      <c r="J73" s="3" t="s">
        <v>239</v>
      </c>
    </row>
    <row r="74" spans="1:10">
      <c r="A74" s="3" t="s">
        <v>357</v>
      </c>
      <c r="B74" s="5">
        <v>46240</v>
      </c>
      <c r="C74" s="3" t="s">
        <v>224</v>
      </c>
      <c r="D74" s="3" t="str">
        <f>_xlfn.XLOOKUP(C74,Vendors!$B$2:$B$21,Vendors!$A$2:$A$21)</f>
        <v>V001</v>
      </c>
      <c r="E74" s="3" t="s">
        <v>246</v>
      </c>
      <c r="F74" s="3" t="s">
        <v>247</v>
      </c>
      <c r="G74" s="3" t="s">
        <v>29</v>
      </c>
      <c r="H74" s="6">
        <v>795</v>
      </c>
      <c r="I74" s="3" t="s">
        <v>63</v>
      </c>
      <c r="J74" s="3" t="s">
        <v>56</v>
      </c>
    </row>
    <row r="75" spans="1:10">
      <c r="A75" s="3" t="s">
        <v>358</v>
      </c>
      <c r="B75" s="5">
        <v>46243</v>
      </c>
      <c r="C75" s="3" t="s">
        <v>302</v>
      </c>
      <c r="D75" s="3" t="str">
        <f>_xlfn.XLOOKUP(C75,Vendors!$B$2:$B$21,Vendors!$A$2:$A$21)</f>
        <v>V016</v>
      </c>
      <c r="E75" s="3" t="s">
        <v>261</v>
      </c>
      <c r="F75" s="3" t="s">
        <v>262</v>
      </c>
      <c r="G75" s="3" t="s">
        <v>58</v>
      </c>
      <c r="H75" s="6">
        <v>444</v>
      </c>
      <c r="I75" s="3" t="s">
        <v>63</v>
      </c>
      <c r="J75" s="3" t="s">
        <v>239</v>
      </c>
    </row>
    <row r="76" spans="1:10">
      <c r="A76" s="3" t="s">
        <v>359</v>
      </c>
      <c r="B76" s="5">
        <v>46246</v>
      </c>
      <c r="C76" s="3" t="s">
        <v>254</v>
      </c>
      <c r="D76" s="3" t="str">
        <f>_xlfn.XLOOKUP(C76,Vendors!$B$2:$B$21,Vendors!$A$2:$A$21)</f>
        <v>V009</v>
      </c>
      <c r="E76" s="3" t="s">
        <v>225</v>
      </c>
      <c r="F76" s="3" t="s">
        <v>360</v>
      </c>
      <c r="G76" s="3" t="s">
        <v>29</v>
      </c>
      <c r="H76" s="6">
        <v>1112</v>
      </c>
      <c r="I76" s="3" t="s">
        <v>63</v>
      </c>
      <c r="J76" s="3" t="s">
        <v>20</v>
      </c>
    </row>
    <row r="77" spans="1:10">
      <c r="A77" s="3" t="s">
        <v>361</v>
      </c>
      <c r="B77" s="5">
        <v>46249</v>
      </c>
      <c r="C77" s="3" t="s">
        <v>260</v>
      </c>
      <c r="D77" s="3" t="str">
        <f>_xlfn.XLOOKUP(C77,Vendors!$B$2:$B$21,Vendors!$A$2:$A$21)</f>
        <v>V010</v>
      </c>
      <c r="E77" s="3" t="s">
        <v>271</v>
      </c>
      <c r="F77" s="3" t="s">
        <v>272</v>
      </c>
      <c r="G77" s="3" t="s">
        <v>50</v>
      </c>
      <c r="H77" s="6">
        <v>1544</v>
      </c>
      <c r="I77" s="3" t="s">
        <v>63</v>
      </c>
      <c r="J77" s="3" t="s">
        <v>26</v>
      </c>
    </row>
    <row r="78" spans="1:10">
      <c r="A78" s="3" t="s">
        <v>362</v>
      </c>
      <c r="B78" s="5">
        <v>46252</v>
      </c>
      <c r="C78" s="3" t="s">
        <v>236</v>
      </c>
      <c r="D78" s="3" t="str">
        <f>_xlfn.XLOOKUP(C78,Vendors!$B$2:$B$21,Vendors!$A$2:$A$21)</f>
        <v>V004</v>
      </c>
      <c r="E78" s="3" t="s">
        <v>255</v>
      </c>
      <c r="F78" s="3" t="s">
        <v>345</v>
      </c>
      <c r="G78" s="3" t="s">
        <v>58</v>
      </c>
      <c r="H78" s="6">
        <v>992</v>
      </c>
      <c r="I78" s="3" t="s">
        <v>45</v>
      </c>
      <c r="J78" s="3" t="s">
        <v>26</v>
      </c>
    </row>
    <row r="79" spans="1:10">
      <c r="A79" s="3" t="s">
        <v>363</v>
      </c>
      <c r="B79" s="5">
        <v>46255</v>
      </c>
      <c r="C79" s="3" t="s">
        <v>224</v>
      </c>
      <c r="D79" s="3" t="str">
        <f>_xlfn.XLOOKUP(C79,Vendors!$B$2:$B$21,Vendors!$A$2:$A$21)</f>
        <v>V001</v>
      </c>
      <c r="E79" s="3" t="s">
        <v>233</v>
      </c>
      <c r="F79" s="3" t="s">
        <v>234</v>
      </c>
      <c r="G79" s="3" t="s">
        <v>13</v>
      </c>
      <c r="H79" s="6">
        <v>272</v>
      </c>
      <c r="I79" s="3" t="s">
        <v>45</v>
      </c>
      <c r="J79" s="3" t="s">
        <v>20</v>
      </c>
    </row>
    <row r="80" spans="1:10">
      <c r="A80" s="3" t="s">
        <v>364</v>
      </c>
      <c r="B80" s="5">
        <v>46258</v>
      </c>
      <c r="C80" s="3" t="s">
        <v>302</v>
      </c>
      <c r="D80" s="3" t="str">
        <f>_xlfn.XLOOKUP(C80,Vendors!$B$2:$B$21,Vendors!$A$2:$A$21)</f>
        <v>V016</v>
      </c>
      <c r="E80" s="3" t="s">
        <v>298</v>
      </c>
      <c r="F80" s="3" t="s">
        <v>332</v>
      </c>
      <c r="G80" s="3" t="s">
        <v>39</v>
      </c>
      <c r="H80" s="6">
        <v>806</v>
      </c>
      <c r="I80" s="3" t="s">
        <v>63</v>
      </c>
      <c r="J80" s="3" t="s">
        <v>239</v>
      </c>
    </row>
    <row r="81" spans="1:10">
      <c r="A81" s="3" t="s">
        <v>365</v>
      </c>
      <c r="B81" s="5">
        <v>46261</v>
      </c>
      <c r="C81" s="3" t="s">
        <v>260</v>
      </c>
      <c r="D81" s="3" t="str">
        <f>_xlfn.XLOOKUP(C81,Vendors!$B$2:$B$21,Vendors!$A$2:$A$21)</f>
        <v>V010</v>
      </c>
      <c r="E81" s="3" t="s">
        <v>242</v>
      </c>
      <c r="F81" s="3" t="s">
        <v>283</v>
      </c>
      <c r="G81" s="3" t="s">
        <v>29</v>
      </c>
      <c r="H81" s="6">
        <v>480</v>
      </c>
      <c r="I81" s="3" t="s">
        <v>63</v>
      </c>
      <c r="J81" s="3" t="s">
        <v>26</v>
      </c>
    </row>
    <row r="82" spans="1:10">
      <c r="A82" s="3" t="s">
        <v>366</v>
      </c>
      <c r="B82" s="5">
        <v>46264</v>
      </c>
      <c r="C82" s="3" t="s">
        <v>228</v>
      </c>
      <c r="D82" s="3" t="str">
        <f>_xlfn.XLOOKUP(C82,Vendors!$B$2:$B$21,Vendors!$A$2:$A$21)</f>
        <v>V002</v>
      </c>
      <c r="E82" s="3" t="s">
        <v>271</v>
      </c>
      <c r="F82" s="3" t="s">
        <v>272</v>
      </c>
      <c r="G82" s="3" t="s">
        <v>50</v>
      </c>
      <c r="H82" s="6">
        <v>2316</v>
      </c>
      <c r="I82" s="3" t="s">
        <v>63</v>
      </c>
      <c r="J82" s="3" t="s">
        <v>26</v>
      </c>
    </row>
    <row r="83" spans="1:10">
      <c r="A83" s="3" t="s">
        <v>367</v>
      </c>
      <c r="B83" s="5">
        <v>46267</v>
      </c>
      <c r="C83" s="3" t="s">
        <v>315</v>
      </c>
      <c r="D83" s="3" t="str">
        <f>_xlfn.XLOOKUP(C83,Vendors!$B$2:$B$21,Vendors!$A$2:$A$21)</f>
        <v>V019</v>
      </c>
      <c r="E83" s="3" t="s">
        <v>242</v>
      </c>
      <c r="F83" s="3" t="s">
        <v>243</v>
      </c>
      <c r="G83" s="3" t="s">
        <v>50</v>
      </c>
      <c r="H83" s="6">
        <v>1110</v>
      </c>
      <c r="I83" s="3" t="s">
        <v>63</v>
      </c>
      <c r="J83" s="3" t="s">
        <v>239</v>
      </c>
    </row>
    <row r="84" spans="1:10">
      <c r="A84" s="3" t="s">
        <v>368</v>
      </c>
      <c r="B84" s="5">
        <v>46270</v>
      </c>
      <c r="C84" s="3" t="s">
        <v>302</v>
      </c>
      <c r="D84" s="3" t="str">
        <f>_xlfn.XLOOKUP(C84,Vendors!$B$2:$B$21,Vendors!$A$2:$A$21)</f>
        <v>V016</v>
      </c>
      <c r="E84" s="3" t="s">
        <v>229</v>
      </c>
      <c r="F84" s="3" t="s">
        <v>334</v>
      </c>
      <c r="G84" s="3" t="s">
        <v>29</v>
      </c>
      <c r="H84" s="6">
        <v>252</v>
      </c>
      <c r="I84" s="3" t="s">
        <v>45</v>
      </c>
      <c r="J84" s="3" t="s">
        <v>56</v>
      </c>
    </row>
    <row r="85" spans="1:10">
      <c r="A85" s="3" t="s">
        <v>369</v>
      </c>
      <c r="B85" s="5">
        <v>46273</v>
      </c>
      <c r="C85" s="3" t="s">
        <v>232</v>
      </c>
      <c r="D85" s="3" t="str">
        <f>_xlfn.XLOOKUP(C85,Vendors!$B$2:$B$21,Vendors!$A$2:$A$21)</f>
        <v>V003</v>
      </c>
      <c r="E85" s="3" t="s">
        <v>246</v>
      </c>
      <c r="F85" s="3" t="s">
        <v>247</v>
      </c>
      <c r="G85" s="3" t="s">
        <v>13</v>
      </c>
      <c r="H85" s="6">
        <v>509</v>
      </c>
      <c r="I85" s="3" t="s">
        <v>63</v>
      </c>
      <c r="J85" s="3" t="s">
        <v>26</v>
      </c>
    </row>
    <row r="86" spans="1:10">
      <c r="A86" s="3" t="s">
        <v>370</v>
      </c>
      <c r="B86" s="5">
        <v>46276</v>
      </c>
      <c r="C86" s="3" t="s">
        <v>245</v>
      </c>
      <c r="D86" s="3" t="str">
        <f>_xlfn.XLOOKUP(C86,Vendors!$B$2:$B$21,Vendors!$A$2:$A$21)</f>
        <v>V006</v>
      </c>
      <c r="E86" s="3" t="s">
        <v>237</v>
      </c>
      <c r="F86" s="3" t="s">
        <v>295</v>
      </c>
      <c r="G86" s="3" t="s">
        <v>19</v>
      </c>
      <c r="H86" s="6">
        <v>3734</v>
      </c>
      <c r="I86" s="3" t="s">
        <v>45</v>
      </c>
      <c r="J86" s="3" t="s">
        <v>56</v>
      </c>
    </row>
    <row r="87" spans="1:10">
      <c r="A87" s="3" t="s">
        <v>371</v>
      </c>
      <c r="B87" s="5">
        <v>46279</v>
      </c>
      <c r="C87" s="3" t="s">
        <v>322</v>
      </c>
      <c r="D87" s="3" t="str">
        <f>_xlfn.XLOOKUP(C87,Vendors!$B$2:$B$21,Vendors!$A$2:$A$21)</f>
        <v>V020</v>
      </c>
      <c r="E87" s="3" t="s">
        <v>271</v>
      </c>
      <c r="F87" s="3" t="s">
        <v>281</v>
      </c>
      <c r="G87" s="3" t="s">
        <v>58</v>
      </c>
      <c r="H87" s="6">
        <v>1839</v>
      </c>
      <c r="I87" s="3" t="s">
        <v>63</v>
      </c>
      <c r="J87" s="3" t="s">
        <v>26</v>
      </c>
    </row>
    <row r="88" spans="1:10">
      <c r="A88" s="3" t="s">
        <v>372</v>
      </c>
      <c r="B88" s="5">
        <v>46282</v>
      </c>
      <c r="C88" s="3" t="s">
        <v>280</v>
      </c>
      <c r="D88" s="3" t="str">
        <f>_xlfn.XLOOKUP(C88,Vendors!$B$2:$B$21,Vendors!$A$2:$A$21)</f>
        <v>V013</v>
      </c>
      <c r="E88" s="3" t="s">
        <v>237</v>
      </c>
      <c r="F88" s="3" t="s">
        <v>238</v>
      </c>
      <c r="G88" s="3" t="s">
        <v>29</v>
      </c>
      <c r="H88" s="6">
        <v>3872</v>
      </c>
      <c r="I88" s="3" t="s">
        <v>45</v>
      </c>
      <c r="J88" s="3" t="s">
        <v>26</v>
      </c>
    </row>
    <row r="89" spans="1:10">
      <c r="A89" s="3" t="s">
        <v>373</v>
      </c>
      <c r="B89" s="5">
        <v>46285</v>
      </c>
      <c r="C89" s="3" t="s">
        <v>315</v>
      </c>
      <c r="D89" s="3" t="str">
        <f>_xlfn.XLOOKUP(C89,Vendors!$B$2:$B$21,Vendors!$A$2:$A$21)</f>
        <v>V019</v>
      </c>
      <c r="E89" s="3" t="s">
        <v>242</v>
      </c>
      <c r="F89" s="3" t="s">
        <v>258</v>
      </c>
      <c r="G89" s="3" t="s">
        <v>39</v>
      </c>
      <c r="H89" s="6">
        <v>221</v>
      </c>
      <c r="I89" s="3" t="s">
        <v>45</v>
      </c>
      <c r="J89" s="3" t="s">
        <v>20</v>
      </c>
    </row>
    <row r="90" spans="1:10">
      <c r="A90" s="3" t="s">
        <v>374</v>
      </c>
      <c r="B90" s="5">
        <v>46288</v>
      </c>
      <c r="C90" s="3" t="s">
        <v>302</v>
      </c>
      <c r="D90" s="3" t="str">
        <f>_xlfn.XLOOKUP(C90,Vendors!$B$2:$B$21,Vendors!$A$2:$A$21)</f>
        <v>V016</v>
      </c>
      <c r="E90" s="3" t="s">
        <v>298</v>
      </c>
      <c r="F90" s="3" t="s">
        <v>332</v>
      </c>
      <c r="G90" s="3" t="s">
        <v>39</v>
      </c>
      <c r="H90" s="6">
        <v>624</v>
      </c>
      <c r="I90" s="3" t="s">
        <v>45</v>
      </c>
      <c r="J90" s="3" t="s">
        <v>20</v>
      </c>
    </row>
    <row r="91" spans="1:10">
      <c r="A91" s="3" t="s">
        <v>375</v>
      </c>
      <c r="B91" s="5">
        <v>46291</v>
      </c>
      <c r="C91" s="3" t="s">
        <v>266</v>
      </c>
      <c r="D91" s="3" t="str">
        <f>_xlfn.XLOOKUP(C91,Vendors!$B$2:$B$21,Vendors!$A$2:$A$21)</f>
        <v>V011</v>
      </c>
      <c r="E91" s="3" t="s">
        <v>271</v>
      </c>
      <c r="F91" s="3" t="s">
        <v>281</v>
      </c>
      <c r="G91" s="3" t="s">
        <v>13</v>
      </c>
      <c r="H91" s="6">
        <v>748</v>
      </c>
      <c r="I91" s="3" t="s">
        <v>63</v>
      </c>
      <c r="J91" s="3" t="s">
        <v>56</v>
      </c>
    </row>
    <row r="92" spans="1:10">
      <c r="A92" s="3" t="s">
        <v>376</v>
      </c>
      <c r="B92" s="5">
        <v>46294</v>
      </c>
      <c r="C92" s="3" t="s">
        <v>260</v>
      </c>
      <c r="D92" s="3" t="str">
        <f>_xlfn.XLOOKUP(C92,Vendors!$B$2:$B$21,Vendors!$A$2:$A$21)</f>
        <v>V010</v>
      </c>
      <c r="E92" s="3" t="s">
        <v>311</v>
      </c>
      <c r="F92" s="3" t="s">
        <v>312</v>
      </c>
      <c r="G92" s="3" t="s">
        <v>13</v>
      </c>
      <c r="H92" s="6">
        <v>1168</v>
      </c>
      <c r="I92" s="3" t="s">
        <v>45</v>
      </c>
      <c r="J92" s="3" t="s">
        <v>20</v>
      </c>
    </row>
    <row r="93" spans="1:10">
      <c r="A93" s="3" t="s">
        <v>377</v>
      </c>
      <c r="B93" s="5">
        <v>46297</v>
      </c>
      <c r="C93" s="3" t="s">
        <v>245</v>
      </c>
      <c r="D93" s="3" t="str">
        <f>_xlfn.XLOOKUP(C93,Vendors!$B$2:$B$21,Vendors!$A$2:$A$21)</f>
        <v>V006</v>
      </c>
      <c r="E93" s="3" t="s">
        <v>298</v>
      </c>
      <c r="F93" s="3" t="s">
        <v>332</v>
      </c>
      <c r="G93" s="3" t="s">
        <v>50</v>
      </c>
      <c r="H93" s="6">
        <v>855</v>
      </c>
      <c r="I93" s="3" t="s">
        <v>63</v>
      </c>
      <c r="J93" s="3" t="s">
        <v>26</v>
      </c>
    </row>
    <row r="94" spans="1:10">
      <c r="A94" s="3" t="s">
        <v>378</v>
      </c>
      <c r="B94" s="5">
        <v>46300</v>
      </c>
      <c r="C94" s="3" t="s">
        <v>294</v>
      </c>
      <c r="D94" s="3" t="str">
        <f>_xlfn.XLOOKUP(C94,Vendors!$B$2:$B$21,Vendors!$A$2:$A$21)</f>
        <v>V015</v>
      </c>
      <c r="E94" s="3" t="s">
        <v>242</v>
      </c>
      <c r="F94" s="3" t="s">
        <v>283</v>
      </c>
      <c r="G94" s="3" t="s">
        <v>29</v>
      </c>
      <c r="H94" s="6">
        <v>1112</v>
      </c>
      <c r="I94" s="3" t="s">
        <v>63</v>
      </c>
      <c r="J94" s="3" t="s">
        <v>239</v>
      </c>
    </row>
    <row r="95" spans="1:10">
      <c r="A95" s="3" t="s">
        <v>379</v>
      </c>
      <c r="B95" s="5">
        <v>46303</v>
      </c>
      <c r="C95" s="3" t="s">
        <v>304</v>
      </c>
      <c r="D95" s="3" t="str">
        <f>_xlfn.XLOOKUP(C95,Vendors!$B$2:$B$21,Vendors!$A$2:$A$21)</f>
        <v>V017</v>
      </c>
      <c r="E95" s="3" t="s">
        <v>271</v>
      </c>
      <c r="F95" s="3" t="s">
        <v>272</v>
      </c>
      <c r="G95" s="3" t="s">
        <v>58</v>
      </c>
      <c r="H95" s="6">
        <v>1391</v>
      </c>
      <c r="I95" s="3" t="s">
        <v>63</v>
      </c>
      <c r="J95" s="3" t="s">
        <v>56</v>
      </c>
    </row>
    <row r="96" spans="1:10">
      <c r="A96" s="3" t="s">
        <v>380</v>
      </c>
      <c r="B96" s="5">
        <v>46306</v>
      </c>
      <c r="C96" s="3" t="s">
        <v>236</v>
      </c>
      <c r="D96" s="3" t="str">
        <f>_xlfn.XLOOKUP(C96,Vendors!$B$2:$B$21,Vendors!$A$2:$A$21)</f>
        <v>V004</v>
      </c>
      <c r="E96" s="3" t="s">
        <v>246</v>
      </c>
      <c r="F96" s="3" t="s">
        <v>247</v>
      </c>
      <c r="G96" s="3" t="s">
        <v>50</v>
      </c>
      <c r="H96" s="6">
        <v>751</v>
      </c>
      <c r="I96" s="3" t="s">
        <v>63</v>
      </c>
      <c r="J96" s="3" t="s">
        <v>56</v>
      </c>
    </row>
    <row r="97" spans="1:10">
      <c r="A97" s="3" t="s">
        <v>381</v>
      </c>
      <c r="B97" s="5">
        <v>46309</v>
      </c>
      <c r="C97" s="3" t="s">
        <v>224</v>
      </c>
      <c r="D97" s="3" t="str">
        <f>_xlfn.XLOOKUP(C97,Vendors!$B$2:$B$21,Vendors!$A$2:$A$21)</f>
        <v>V001</v>
      </c>
      <c r="E97" s="3" t="s">
        <v>275</v>
      </c>
      <c r="F97" s="3" t="s">
        <v>276</v>
      </c>
      <c r="G97" s="3" t="s">
        <v>19</v>
      </c>
      <c r="H97" s="6">
        <v>1865</v>
      </c>
      <c r="I97" s="3" t="s">
        <v>63</v>
      </c>
      <c r="J97" s="3" t="s">
        <v>26</v>
      </c>
    </row>
    <row r="98" spans="1:10">
      <c r="A98" s="3" t="s">
        <v>382</v>
      </c>
      <c r="B98" s="5">
        <v>46312</v>
      </c>
      <c r="C98" s="3" t="s">
        <v>249</v>
      </c>
      <c r="D98" s="3" t="str">
        <f>_xlfn.XLOOKUP(C98,Vendors!$B$2:$B$21,Vendors!$A$2:$A$21)</f>
        <v>V007</v>
      </c>
      <c r="E98" s="3" t="s">
        <v>311</v>
      </c>
      <c r="F98" s="3" t="s">
        <v>312</v>
      </c>
      <c r="G98" s="3" t="s">
        <v>19</v>
      </c>
      <c r="H98" s="6">
        <v>653</v>
      </c>
      <c r="I98" s="3" t="s">
        <v>45</v>
      </c>
      <c r="J98" s="3" t="s">
        <v>26</v>
      </c>
    </row>
    <row r="99" spans="1:10">
      <c r="A99" s="3" t="s">
        <v>383</v>
      </c>
      <c r="B99" s="5">
        <v>46315</v>
      </c>
      <c r="C99" s="3" t="s">
        <v>252</v>
      </c>
      <c r="D99" s="3" t="str">
        <f>_xlfn.XLOOKUP(C99,Vendors!$B$2:$B$21,Vendors!$A$2:$A$21)</f>
        <v>V008</v>
      </c>
      <c r="E99" s="3" t="s">
        <v>255</v>
      </c>
      <c r="F99" s="3" t="s">
        <v>327</v>
      </c>
      <c r="G99" s="3" t="s">
        <v>50</v>
      </c>
      <c r="H99" s="6">
        <v>379</v>
      </c>
      <c r="I99" s="3" t="s">
        <v>45</v>
      </c>
      <c r="J99" s="3" t="s">
        <v>26</v>
      </c>
    </row>
    <row r="100" spans="1:10">
      <c r="A100" s="3" t="s">
        <v>384</v>
      </c>
      <c r="B100" s="5">
        <v>46318</v>
      </c>
      <c r="C100" s="3" t="s">
        <v>274</v>
      </c>
      <c r="D100" s="3" t="str">
        <f>_xlfn.XLOOKUP(C100,Vendors!$B$2:$B$21,Vendors!$A$2:$A$21)</f>
        <v>V012</v>
      </c>
      <c r="E100" s="3" t="s">
        <v>311</v>
      </c>
      <c r="F100" s="3" t="s">
        <v>312</v>
      </c>
      <c r="G100" s="3" t="s">
        <v>58</v>
      </c>
      <c r="H100" s="6">
        <v>1492</v>
      </c>
      <c r="I100" s="3" t="s">
        <v>63</v>
      </c>
      <c r="J100" s="3" t="s">
        <v>56</v>
      </c>
    </row>
    <row r="101" spans="1:10">
      <c r="A101" s="3" t="s">
        <v>385</v>
      </c>
      <c r="B101" s="5">
        <v>46321</v>
      </c>
      <c r="C101" s="3" t="s">
        <v>322</v>
      </c>
      <c r="D101" s="3" t="str">
        <f>_xlfn.XLOOKUP(C101,Vendors!$B$2:$B$21,Vendors!$A$2:$A$21)</f>
        <v>V020</v>
      </c>
      <c r="E101" s="3" t="s">
        <v>225</v>
      </c>
      <c r="F101" s="3" t="s">
        <v>226</v>
      </c>
      <c r="G101" s="3" t="s">
        <v>13</v>
      </c>
      <c r="H101" s="6">
        <v>326</v>
      </c>
      <c r="I101" s="3" t="s">
        <v>63</v>
      </c>
      <c r="J101" s="3" t="s">
        <v>239</v>
      </c>
    </row>
    <row r="102" spans="1:10">
      <c r="A102" s="3" t="s">
        <v>386</v>
      </c>
      <c r="B102" s="5">
        <v>46324</v>
      </c>
      <c r="C102" s="3" t="s">
        <v>294</v>
      </c>
      <c r="D102" s="3" t="str">
        <f>_xlfn.XLOOKUP(C102,Vendors!$B$2:$B$21,Vendors!$A$2:$A$21)</f>
        <v>V015</v>
      </c>
      <c r="E102" s="3" t="s">
        <v>329</v>
      </c>
      <c r="F102" s="3" t="s">
        <v>330</v>
      </c>
      <c r="G102" s="3" t="s">
        <v>39</v>
      </c>
      <c r="H102" s="6">
        <v>1008</v>
      </c>
      <c r="I102" s="3" t="s">
        <v>63</v>
      </c>
      <c r="J102" s="3" t="s">
        <v>26</v>
      </c>
    </row>
    <row r="103" spans="1:10">
      <c r="A103" s="3" t="s">
        <v>387</v>
      </c>
      <c r="B103" s="5">
        <v>46327</v>
      </c>
      <c r="C103" s="3" t="s">
        <v>241</v>
      </c>
      <c r="D103" s="3" t="str">
        <f>_xlfn.XLOOKUP(C103,Vendors!$B$2:$B$21,Vendors!$A$2:$A$21)</f>
        <v>V005</v>
      </c>
      <c r="E103" s="3" t="s">
        <v>225</v>
      </c>
      <c r="F103" s="3" t="s">
        <v>360</v>
      </c>
      <c r="G103" s="3" t="s">
        <v>29</v>
      </c>
      <c r="H103" s="6">
        <v>345</v>
      </c>
      <c r="I103" s="3" t="s">
        <v>63</v>
      </c>
      <c r="J103" s="3" t="s">
        <v>26</v>
      </c>
    </row>
    <row r="104" spans="1:10">
      <c r="A104" s="3" t="s">
        <v>388</v>
      </c>
      <c r="B104" s="5">
        <v>46330</v>
      </c>
      <c r="C104" s="3" t="s">
        <v>289</v>
      </c>
      <c r="D104" s="3" t="str">
        <f>_xlfn.XLOOKUP(C104,Vendors!$B$2:$B$21,Vendors!$A$2:$A$21)</f>
        <v>V014</v>
      </c>
      <c r="E104" s="3" t="s">
        <v>229</v>
      </c>
      <c r="F104" s="3" t="s">
        <v>334</v>
      </c>
      <c r="G104" s="3" t="s">
        <v>58</v>
      </c>
      <c r="H104" s="6">
        <v>882</v>
      </c>
      <c r="I104" s="3" t="s">
        <v>45</v>
      </c>
      <c r="J104" s="3" t="s">
        <v>56</v>
      </c>
    </row>
    <row r="105" spans="1:10">
      <c r="A105" s="3" t="s">
        <v>389</v>
      </c>
      <c r="B105" s="5">
        <v>46333</v>
      </c>
      <c r="C105" s="3" t="s">
        <v>254</v>
      </c>
      <c r="D105" s="3" t="str">
        <f>_xlfn.XLOOKUP(C105,Vendors!$B$2:$B$21,Vendors!$A$2:$A$21)</f>
        <v>V009</v>
      </c>
      <c r="E105" s="3" t="s">
        <v>255</v>
      </c>
      <c r="F105" s="3" t="s">
        <v>345</v>
      </c>
      <c r="G105" s="3" t="s">
        <v>58</v>
      </c>
      <c r="H105" s="6">
        <v>506</v>
      </c>
      <c r="I105" s="3" t="s">
        <v>45</v>
      </c>
      <c r="J105" s="3" t="s">
        <v>26</v>
      </c>
    </row>
    <row r="106" spans="1:10">
      <c r="A106" s="3" t="s">
        <v>390</v>
      </c>
      <c r="B106" s="5">
        <v>46336</v>
      </c>
      <c r="C106" s="3" t="s">
        <v>266</v>
      </c>
      <c r="D106" s="3" t="str">
        <f>_xlfn.XLOOKUP(C106,Vendors!$B$2:$B$21,Vendors!$A$2:$A$21)</f>
        <v>V011</v>
      </c>
      <c r="E106" s="3" t="s">
        <v>225</v>
      </c>
      <c r="F106" s="3" t="s">
        <v>250</v>
      </c>
      <c r="G106" s="3" t="s">
        <v>50</v>
      </c>
      <c r="H106" s="6">
        <v>220</v>
      </c>
      <c r="I106" s="3" t="s">
        <v>63</v>
      </c>
      <c r="J106" s="3" t="s">
        <v>239</v>
      </c>
    </row>
    <row r="107" spans="1:10">
      <c r="A107" s="3" t="s">
        <v>391</v>
      </c>
      <c r="B107" s="5">
        <v>46339</v>
      </c>
      <c r="C107" s="3" t="s">
        <v>304</v>
      </c>
      <c r="D107" s="3" t="str">
        <f>_xlfn.XLOOKUP(C107,Vendors!$B$2:$B$21,Vendors!$A$2:$A$21)</f>
        <v>V017</v>
      </c>
      <c r="E107" s="3" t="s">
        <v>298</v>
      </c>
      <c r="F107" s="3" t="s">
        <v>332</v>
      </c>
      <c r="G107" s="3" t="s">
        <v>58</v>
      </c>
      <c r="H107" s="6">
        <v>289</v>
      </c>
      <c r="I107" s="3" t="s">
        <v>63</v>
      </c>
      <c r="J107" s="3" t="s">
        <v>56</v>
      </c>
    </row>
    <row r="108" spans="1:10">
      <c r="A108" s="3" t="s">
        <v>392</v>
      </c>
      <c r="B108" s="5">
        <v>46342</v>
      </c>
      <c r="C108" s="3" t="s">
        <v>274</v>
      </c>
      <c r="D108" s="3" t="str">
        <f>_xlfn.XLOOKUP(C108,Vendors!$B$2:$B$21,Vendors!$A$2:$A$21)</f>
        <v>V012</v>
      </c>
      <c r="E108" s="3" t="s">
        <v>246</v>
      </c>
      <c r="F108" s="3" t="s">
        <v>247</v>
      </c>
      <c r="G108" s="3" t="s">
        <v>50</v>
      </c>
      <c r="H108" s="6">
        <v>336</v>
      </c>
      <c r="I108" s="3" t="s">
        <v>45</v>
      </c>
      <c r="J108" s="3" t="s">
        <v>239</v>
      </c>
    </row>
    <row r="109" spans="1:10">
      <c r="A109" s="3" t="s">
        <v>393</v>
      </c>
      <c r="B109" s="5">
        <v>46345</v>
      </c>
      <c r="C109" s="3" t="s">
        <v>252</v>
      </c>
      <c r="D109" s="3" t="str">
        <f>_xlfn.XLOOKUP(C109,Vendors!$B$2:$B$21,Vendors!$A$2:$A$21)</f>
        <v>V008</v>
      </c>
      <c r="E109" s="3" t="s">
        <v>261</v>
      </c>
      <c r="F109" s="3" t="s">
        <v>262</v>
      </c>
      <c r="G109" s="3" t="s">
        <v>39</v>
      </c>
      <c r="H109" s="6">
        <v>380</v>
      </c>
      <c r="I109" s="3" t="s">
        <v>63</v>
      </c>
      <c r="J109" s="3" t="s">
        <v>20</v>
      </c>
    </row>
    <row r="110" spans="1:10">
      <c r="A110" s="3" t="s">
        <v>394</v>
      </c>
      <c r="B110" s="5">
        <v>46348</v>
      </c>
      <c r="C110" s="3" t="s">
        <v>252</v>
      </c>
      <c r="D110" s="3" t="str">
        <f>_xlfn.XLOOKUP(C110,Vendors!$B$2:$B$21,Vendors!$A$2:$A$21)</f>
        <v>V008</v>
      </c>
      <c r="E110" s="3" t="s">
        <v>246</v>
      </c>
      <c r="F110" s="3" t="s">
        <v>247</v>
      </c>
      <c r="G110" s="3" t="s">
        <v>19</v>
      </c>
      <c r="H110" s="6">
        <v>473</v>
      </c>
      <c r="I110" s="3" t="s">
        <v>63</v>
      </c>
      <c r="J110" s="3" t="s">
        <v>239</v>
      </c>
    </row>
    <row r="111" spans="1:10">
      <c r="A111" s="3" t="s">
        <v>395</v>
      </c>
      <c r="B111" s="5">
        <v>46351</v>
      </c>
      <c r="C111" s="3" t="s">
        <v>322</v>
      </c>
      <c r="D111" s="3" t="str">
        <f>_xlfn.XLOOKUP(C111,Vendors!$B$2:$B$21,Vendors!$A$2:$A$21)</f>
        <v>V020</v>
      </c>
      <c r="E111" s="3" t="s">
        <v>225</v>
      </c>
      <c r="F111" s="3" t="s">
        <v>360</v>
      </c>
      <c r="G111" s="3" t="s">
        <v>19</v>
      </c>
      <c r="H111" s="6">
        <v>1375</v>
      </c>
      <c r="I111" s="3" t="s">
        <v>45</v>
      </c>
      <c r="J111" s="3" t="s">
        <v>26</v>
      </c>
    </row>
    <row r="112" spans="1:10">
      <c r="A112" s="3" t="s">
        <v>396</v>
      </c>
      <c r="B112" s="5">
        <v>46354</v>
      </c>
      <c r="C112" s="3" t="s">
        <v>294</v>
      </c>
      <c r="D112" s="3" t="str">
        <f>_xlfn.XLOOKUP(C112,Vendors!$B$2:$B$21,Vendors!$A$2:$A$21)</f>
        <v>V015</v>
      </c>
      <c r="E112" s="3" t="s">
        <v>237</v>
      </c>
      <c r="F112" s="3" t="s">
        <v>238</v>
      </c>
      <c r="G112" s="3" t="s">
        <v>50</v>
      </c>
      <c r="H112" s="6">
        <v>3039</v>
      </c>
      <c r="I112" s="3" t="s">
        <v>45</v>
      </c>
      <c r="J112" s="3" t="s">
        <v>26</v>
      </c>
    </row>
    <row r="113" spans="1:10">
      <c r="A113" s="3" t="s">
        <v>397</v>
      </c>
      <c r="B113" s="5">
        <v>46357</v>
      </c>
      <c r="C113" s="3" t="s">
        <v>245</v>
      </c>
      <c r="D113" s="3" t="str">
        <f>_xlfn.XLOOKUP(C113,Vendors!$B$2:$B$21,Vendors!$A$2:$A$21)</f>
        <v>V006</v>
      </c>
      <c r="E113" s="3" t="s">
        <v>255</v>
      </c>
      <c r="F113" s="3" t="s">
        <v>290</v>
      </c>
      <c r="G113" s="3" t="s">
        <v>58</v>
      </c>
      <c r="H113" s="6">
        <v>213</v>
      </c>
      <c r="I113" s="3" t="s">
        <v>63</v>
      </c>
      <c r="J113" s="3" t="s">
        <v>26</v>
      </c>
    </row>
    <row r="114" spans="1:10">
      <c r="A114" s="3" t="s">
        <v>398</v>
      </c>
      <c r="B114" s="5">
        <v>46360</v>
      </c>
      <c r="C114" s="3" t="s">
        <v>228</v>
      </c>
      <c r="D114" s="3" t="str">
        <f>_xlfn.XLOOKUP(C114,Vendors!$B$2:$B$21,Vendors!$A$2:$A$21)</f>
        <v>V002</v>
      </c>
      <c r="E114" s="3" t="s">
        <v>255</v>
      </c>
      <c r="F114" s="3" t="s">
        <v>345</v>
      </c>
      <c r="G114" s="3" t="s">
        <v>50</v>
      </c>
      <c r="H114" s="6">
        <v>546</v>
      </c>
      <c r="I114" s="3" t="s">
        <v>45</v>
      </c>
      <c r="J114" s="3" t="s">
        <v>239</v>
      </c>
    </row>
    <row r="115" spans="1:10">
      <c r="A115" s="3" t="s">
        <v>399</v>
      </c>
      <c r="B115" s="5">
        <v>46363</v>
      </c>
      <c r="C115" s="3" t="s">
        <v>228</v>
      </c>
      <c r="D115" s="3" t="str">
        <f>_xlfn.XLOOKUP(C115,Vendors!$B$2:$B$21,Vendors!$A$2:$A$21)</f>
        <v>V002</v>
      </c>
      <c r="E115" s="3" t="s">
        <v>311</v>
      </c>
      <c r="F115" s="3" t="s">
        <v>312</v>
      </c>
      <c r="G115" s="3" t="s">
        <v>29</v>
      </c>
      <c r="H115" s="6">
        <v>1261</v>
      </c>
      <c r="I115" s="3" t="s">
        <v>63</v>
      </c>
      <c r="J115" s="3" t="s">
        <v>26</v>
      </c>
    </row>
    <row r="116" spans="1:10">
      <c r="A116" s="3" t="s">
        <v>400</v>
      </c>
      <c r="B116" s="5">
        <v>46366</v>
      </c>
      <c r="C116" s="3" t="s">
        <v>274</v>
      </c>
      <c r="D116" s="3" t="str">
        <f>_xlfn.XLOOKUP(C116,Vendors!$B$2:$B$21,Vendors!$A$2:$A$21)</f>
        <v>V012</v>
      </c>
      <c r="E116" s="3" t="s">
        <v>246</v>
      </c>
      <c r="F116" s="3" t="s">
        <v>247</v>
      </c>
      <c r="G116" s="3" t="s">
        <v>50</v>
      </c>
      <c r="H116" s="6">
        <v>293</v>
      </c>
      <c r="I116" s="3" t="s">
        <v>63</v>
      </c>
      <c r="J116" s="3" t="s">
        <v>20</v>
      </c>
    </row>
    <row r="117" spans="1:10">
      <c r="A117" s="3" t="s">
        <v>401</v>
      </c>
      <c r="B117" s="5">
        <v>46369</v>
      </c>
      <c r="C117" s="3" t="s">
        <v>307</v>
      </c>
      <c r="D117" s="3" t="str">
        <f>_xlfn.XLOOKUP(C117,Vendors!$B$2:$B$21,Vendors!$A$2:$A$21)</f>
        <v>V018</v>
      </c>
      <c r="E117" s="3" t="s">
        <v>237</v>
      </c>
      <c r="F117" s="3" t="s">
        <v>295</v>
      </c>
      <c r="G117" s="3" t="s">
        <v>13</v>
      </c>
      <c r="H117" s="6">
        <v>4409</v>
      </c>
      <c r="I117" s="3" t="s">
        <v>63</v>
      </c>
      <c r="J117" s="3" t="s">
        <v>26</v>
      </c>
    </row>
    <row r="118" spans="1:10">
      <c r="A118" s="3" t="s">
        <v>402</v>
      </c>
      <c r="B118" s="5">
        <v>46372</v>
      </c>
      <c r="C118" s="3" t="s">
        <v>252</v>
      </c>
      <c r="D118" s="3" t="str">
        <f>_xlfn.XLOOKUP(C118,Vendors!$B$2:$B$21,Vendors!$A$2:$A$21)</f>
        <v>V008</v>
      </c>
      <c r="E118" s="3" t="s">
        <v>329</v>
      </c>
      <c r="F118" s="3" t="s">
        <v>18</v>
      </c>
      <c r="G118" s="3" t="s">
        <v>29</v>
      </c>
      <c r="H118" s="6">
        <v>449</v>
      </c>
      <c r="I118" s="3" t="s">
        <v>63</v>
      </c>
      <c r="J118" s="3" t="s">
        <v>56</v>
      </c>
    </row>
    <row r="119" spans="1:10">
      <c r="A119" s="3" t="s">
        <v>403</v>
      </c>
      <c r="B119" s="5">
        <v>46375</v>
      </c>
      <c r="C119" s="3" t="s">
        <v>245</v>
      </c>
      <c r="D119" s="3" t="str">
        <f>_xlfn.XLOOKUP(C119,Vendors!$B$2:$B$21,Vendors!$A$2:$A$21)</f>
        <v>V006</v>
      </c>
      <c r="E119" s="3" t="s">
        <v>329</v>
      </c>
      <c r="F119" s="3" t="s">
        <v>330</v>
      </c>
      <c r="G119" s="3" t="s">
        <v>19</v>
      </c>
      <c r="H119" s="6">
        <v>782</v>
      </c>
      <c r="I119" s="3" t="s">
        <v>63</v>
      </c>
      <c r="J119" s="3" t="s">
        <v>20</v>
      </c>
    </row>
    <row r="120" spans="1:10">
      <c r="A120" s="3" t="s">
        <v>404</v>
      </c>
      <c r="B120" s="5">
        <v>46378</v>
      </c>
      <c r="C120" s="3" t="s">
        <v>232</v>
      </c>
      <c r="D120" s="3" t="str">
        <f>_xlfn.XLOOKUP(C120,Vendors!$B$2:$B$21,Vendors!$A$2:$A$21)</f>
        <v>V003</v>
      </c>
      <c r="E120" s="3" t="s">
        <v>268</v>
      </c>
      <c r="F120" s="3" t="s">
        <v>405</v>
      </c>
      <c r="G120" s="3" t="s">
        <v>13</v>
      </c>
      <c r="H120" s="6">
        <v>775</v>
      </c>
      <c r="I120" s="3" t="s">
        <v>63</v>
      </c>
      <c r="J120" s="3" t="s">
        <v>56</v>
      </c>
    </row>
    <row r="121" spans="1:10">
      <c r="A121" s="3" t="s">
        <v>406</v>
      </c>
      <c r="B121" s="5">
        <v>46381</v>
      </c>
      <c r="C121" s="3" t="s">
        <v>232</v>
      </c>
      <c r="D121" s="3" t="str">
        <f>_xlfn.XLOOKUP(C121,Vendors!$B$2:$B$21,Vendors!$A$2:$A$21)</f>
        <v>V003</v>
      </c>
      <c r="E121" s="3" t="s">
        <v>233</v>
      </c>
      <c r="F121" s="3" t="s">
        <v>350</v>
      </c>
      <c r="G121" s="3" t="s">
        <v>13</v>
      </c>
      <c r="H121" s="6">
        <v>573</v>
      </c>
      <c r="I121" s="3" t="s">
        <v>45</v>
      </c>
      <c r="J121" s="3" t="s">
        <v>26</v>
      </c>
    </row>
  </sheetData>
  <conditionalFormatting sqref="I2:I121">
    <cfRule type="containsText" dxfId="3" priority="1" operator="containsText" text="Pending">
      <formula>NOT(ISERROR(SEARCH("Pending",I2)))</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48284-4EF0-4D5F-9B98-C14AD7957477}">
  <dimension ref="A1:F366"/>
  <sheetViews>
    <sheetView workbookViewId="0">
      <pane ySplit="1" topLeftCell="A2" activePane="bottomLeft" state="frozen"/>
      <selection pane="bottomLeft" activeCell="G13" sqref="G13"/>
    </sheetView>
  </sheetViews>
  <sheetFormatPr defaultRowHeight="14.5"/>
  <cols>
    <col min="1" max="1" width="9.7265625" bestFit="1" customWidth="1"/>
    <col min="2" max="2" width="6.81640625" bestFit="1" customWidth="1"/>
    <col min="3" max="3" width="8.453125" bestFit="1" customWidth="1"/>
    <col min="4" max="4" width="14.54296875" bestFit="1" customWidth="1"/>
  </cols>
  <sheetData>
    <row r="1" spans="1:6">
      <c r="A1" s="21" t="s">
        <v>1</v>
      </c>
      <c r="B1" s="21" t="s">
        <v>407</v>
      </c>
      <c r="C1" s="21" t="s">
        <v>408</v>
      </c>
      <c r="D1" s="21" t="s">
        <v>409</v>
      </c>
    </row>
    <row r="2" spans="1:6">
      <c r="A2" s="7">
        <v>46023</v>
      </c>
      <c r="B2" s="8">
        <f>SUMIFS(Income!$G$2:$G$121,Income!$B$2:$B$121,'Cash Flow'!A2)</f>
        <v>1017</v>
      </c>
      <c r="C2" s="8">
        <f>SUMIFS(Expenses!$H$2:$H$121,Expenses!$B$2:$B$121,'Cash Flow'!A2)</f>
        <v>0</v>
      </c>
      <c r="D2" s="9">
        <f>Settings!$C$6+B2-C2</f>
        <v>26017</v>
      </c>
    </row>
    <row r="3" spans="1:6">
      <c r="A3" s="7">
        <v>46024</v>
      </c>
      <c r="B3" s="8">
        <f>SUMIFS(Income!$G$2:$G$121,Income!$B$2:$B$121,'Cash Flow'!A3)</f>
        <v>0</v>
      </c>
      <c r="C3" s="8">
        <f>SUMIFS(Expenses!$H$2:$H$121,Expenses!$B$2:$B$121,'Cash Flow'!A3)</f>
        <v>984</v>
      </c>
      <c r="D3" s="9">
        <f>D2+B3-C3</f>
        <v>25033</v>
      </c>
      <c r="F3" t="s">
        <v>410</v>
      </c>
    </row>
    <row r="4" spans="1:6">
      <c r="A4" s="7">
        <v>46025</v>
      </c>
      <c r="B4" s="8">
        <f>SUMIFS(Income!$G$2:$G$121,Income!$B$2:$B$121,'Cash Flow'!A4)</f>
        <v>0</v>
      </c>
      <c r="C4" s="8">
        <f>SUMIFS(Expenses!$H$2:$H$121,Expenses!$B$2:$B$121,'Cash Flow'!A4)</f>
        <v>0</v>
      </c>
      <c r="D4" s="9">
        <f>D3+B4-C4</f>
        <v>25033</v>
      </c>
      <c r="F4" t="s">
        <v>411</v>
      </c>
    </row>
    <row r="5" spans="1:6">
      <c r="A5" s="7">
        <v>46026</v>
      </c>
      <c r="B5" s="8">
        <f>SUMIFS(Income!$G$2:$G$121,Income!$B$2:$B$121,'Cash Flow'!A5)</f>
        <v>1195</v>
      </c>
      <c r="C5" s="8">
        <f>SUMIFS(Expenses!$H$2:$H$121,Expenses!$B$2:$B$121,'Cash Flow'!A5)</f>
        <v>0</v>
      </c>
      <c r="D5" s="9">
        <f t="shared" ref="D5:D68" si="0">D4+B5-C5</f>
        <v>26228</v>
      </c>
      <c r="F5" t="s">
        <v>412</v>
      </c>
    </row>
    <row r="6" spans="1:6">
      <c r="A6" s="7">
        <v>46027</v>
      </c>
      <c r="B6" s="8">
        <f>SUMIFS(Income!$G$2:$G$121,Income!$B$2:$B$121,'Cash Flow'!A6)</f>
        <v>0</v>
      </c>
      <c r="C6" s="8">
        <f>SUMIFS(Expenses!$H$2:$H$121,Expenses!$B$2:$B$121,'Cash Flow'!A6)</f>
        <v>793</v>
      </c>
      <c r="D6" s="9">
        <f t="shared" si="0"/>
        <v>25435</v>
      </c>
    </row>
    <row r="7" spans="1:6">
      <c r="A7" s="7">
        <v>46028</v>
      </c>
      <c r="B7" s="8">
        <f>SUMIFS(Income!$G$2:$G$121,Income!$B$2:$B$121,'Cash Flow'!A7)</f>
        <v>0</v>
      </c>
      <c r="C7" s="8">
        <f>SUMIFS(Expenses!$H$2:$H$121,Expenses!$B$2:$B$121,'Cash Flow'!A7)</f>
        <v>0</v>
      </c>
      <c r="D7" s="9">
        <f t="shared" si="0"/>
        <v>25435</v>
      </c>
    </row>
    <row r="8" spans="1:6">
      <c r="A8" s="7">
        <v>46029</v>
      </c>
      <c r="B8" s="8">
        <f>SUMIFS(Income!$G$2:$G$121,Income!$B$2:$B$121,'Cash Flow'!A8)</f>
        <v>86</v>
      </c>
      <c r="C8" s="8">
        <f>SUMIFS(Expenses!$H$2:$H$121,Expenses!$B$2:$B$121,'Cash Flow'!A8)</f>
        <v>0</v>
      </c>
      <c r="D8" s="9">
        <f t="shared" si="0"/>
        <v>25521</v>
      </c>
    </row>
    <row r="9" spans="1:6">
      <c r="A9" s="7">
        <v>46030</v>
      </c>
      <c r="B9" s="8">
        <f>SUMIFS(Income!$G$2:$G$121,Income!$B$2:$B$121,'Cash Flow'!A9)</f>
        <v>0</v>
      </c>
      <c r="C9" s="8">
        <f>SUMIFS(Expenses!$H$2:$H$121,Expenses!$B$2:$B$121,'Cash Flow'!A9)</f>
        <v>600</v>
      </c>
      <c r="D9" s="9">
        <f t="shared" si="0"/>
        <v>24921</v>
      </c>
    </row>
    <row r="10" spans="1:6">
      <c r="A10" s="7">
        <v>46031</v>
      </c>
      <c r="B10" s="8">
        <f>SUMIFS(Income!$G$2:$G$121,Income!$B$2:$B$121,'Cash Flow'!A10)</f>
        <v>0</v>
      </c>
      <c r="C10" s="8">
        <f>SUMIFS(Expenses!$H$2:$H$121,Expenses!$B$2:$B$121,'Cash Flow'!A10)</f>
        <v>0</v>
      </c>
      <c r="D10" s="9">
        <f t="shared" si="0"/>
        <v>24921</v>
      </c>
    </row>
    <row r="11" spans="1:6">
      <c r="A11" s="7">
        <v>46032</v>
      </c>
      <c r="B11" s="8">
        <f>SUMIFS(Income!$G$2:$G$121,Income!$B$2:$B$121,'Cash Flow'!A11)</f>
        <v>238</v>
      </c>
      <c r="C11" s="8">
        <f>SUMIFS(Expenses!$H$2:$H$121,Expenses!$B$2:$B$121,'Cash Flow'!A11)</f>
        <v>0</v>
      </c>
      <c r="D11" s="9">
        <f t="shared" si="0"/>
        <v>25159</v>
      </c>
    </row>
    <row r="12" spans="1:6">
      <c r="A12" s="7">
        <v>46033</v>
      </c>
      <c r="B12" s="8">
        <f>SUMIFS(Income!$G$2:$G$121,Income!$B$2:$B$121,'Cash Flow'!A12)</f>
        <v>0</v>
      </c>
      <c r="C12" s="8">
        <f>SUMIFS(Expenses!$H$2:$H$121,Expenses!$B$2:$B$121,'Cash Flow'!A12)</f>
        <v>4999</v>
      </c>
      <c r="D12" s="9">
        <f t="shared" si="0"/>
        <v>20160</v>
      </c>
    </row>
    <row r="13" spans="1:6">
      <c r="A13" s="7">
        <v>46034</v>
      </c>
      <c r="B13" s="8">
        <f>SUMIFS(Income!$G$2:$G$121,Income!$B$2:$B$121,'Cash Flow'!A13)</f>
        <v>0</v>
      </c>
      <c r="C13" s="8">
        <f>SUMIFS(Expenses!$H$2:$H$121,Expenses!$B$2:$B$121,'Cash Flow'!A13)</f>
        <v>0</v>
      </c>
      <c r="D13" s="9">
        <f t="shared" si="0"/>
        <v>20160</v>
      </c>
    </row>
    <row r="14" spans="1:6">
      <c r="A14" s="7">
        <v>46035</v>
      </c>
      <c r="B14" s="8">
        <f>SUMIFS(Income!$G$2:$G$121,Income!$B$2:$B$121,'Cash Flow'!A14)</f>
        <v>2955</v>
      </c>
      <c r="C14" s="8">
        <f>SUMIFS(Expenses!$H$2:$H$121,Expenses!$B$2:$B$121,'Cash Flow'!A14)</f>
        <v>0</v>
      </c>
      <c r="D14" s="9">
        <f t="shared" si="0"/>
        <v>23115</v>
      </c>
    </row>
    <row r="15" spans="1:6">
      <c r="A15" s="7">
        <v>46036</v>
      </c>
      <c r="B15" s="8">
        <f>SUMIFS(Income!$G$2:$G$121,Income!$B$2:$B$121,'Cash Flow'!A15)</f>
        <v>0</v>
      </c>
      <c r="C15" s="8">
        <f>SUMIFS(Expenses!$H$2:$H$121,Expenses!$B$2:$B$121,'Cash Flow'!A15)</f>
        <v>873</v>
      </c>
      <c r="D15" s="9">
        <f t="shared" si="0"/>
        <v>22242</v>
      </c>
    </row>
    <row r="16" spans="1:6">
      <c r="A16" s="7">
        <v>46037</v>
      </c>
      <c r="B16" s="8">
        <f>SUMIFS(Income!$G$2:$G$121,Income!$B$2:$B$121,'Cash Flow'!A16)</f>
        <v>0</v>
      </c>
      <c r="C16" s="8">
        <f>SUMIFS(Expenses!$H$2:$H$121,Expenses!$B$2:$B$121,'Cash Flow'!A16)</f>
        <v>0</v>
      </c>
      <c r="D16" s="9">
        <f t="shared" si="0"/>
        <v>22242</v>
      </c>
    </row>
    <row r="17" spans="1:4">
      <c r="A17" s="7">
        <v>46038</v>
      </c>
      <c r="B17" s="8">
        <f>SUMIFS(Income!$G$2:$G$121,Income!$B$2:$B$121,'Cash Flow'!A17)</f>
        <v>709</v>
      </c>
      <c r="C17" s="8">
        <f>SUMIFS(Expenses!$H$2:$H$121,Expenses!$B$2:$B$121,'Cash Flow'!A17)</f>
        <v>0</v>
      </c>
      <c r="D17" s="9">
        <f t="shared" si="0"/>
        <v>22951</v>
      </c>
    </row>
    <row r="18" spans="1:4">
      <c r="A18" s="7">
        <v>46039</v>
      </c>
      <c r="B18" s="8">
        <f>SUMIFS(Income!$G$2:$G$121,Income!$B$2:$B$121,'Cash Flow'!A18)</f>
        <v>0</v>
      </c>
      <c r="C18" s="8">
        <f>SUMIFS(Expenses!$H$2:$H$121,Expenses!$B$2:$B$121,'Cash Flow'!A18)</f>
        <v>502</v>
      </c>
      <c r="D18" s="9">
        <f t="shared" si="0"/>
        <v>22449</v>
      </c>
    </row>
    <row r="19" spans="1:4">
      <c r="A19" s="7">
        <v>46040</v>
      </c>
      <c r="B19" s="8">
        <f>SUMIFS(Income!$G$2:$G$121,Income!$B$2:$B$121,'Cash Flow'!A19)</f>
        <v>0</v>
      </c>
      <c r="C19" s="8">
        <f>SUMIFS(Expenses!$H$2:$H$121,Expenses!$B$2:$B$121,'Cash Flow'!A19)</f>
        <v>0</v>
      </c>
      <c r="D19" s="9">
        <f t="shared" si="0"/>
        <v>22449</v>
      </c>
    </row>
    <row r="20" spans="1:4">
      <c r="A20" s="7">
        <v>46041</v>
      </c>
      <c r="B20" s="8">
        <f>SUMIFS(Income!$G$2:$G$121,Income!$B$2:$B$121,'Cash Flow'!A20)</f>
        <v>777</v>
      </c>
      <c r="C20" s="8">
        <f>SUMIFS(Expenses!$H$2:$H$121,Expenses!$B$2:$B$121,'Cash Flow'!A20)</f>
        <v>0</v>
      </c>
      <c r="D20" s="9">
        <f t="shared" si="0"/>
        <v>23226</v>
      </c>
    </row>
    <row r="21" spans="1:4">
      <c r="A21" s="7">
        <v>46042</v>
      </c>
      <c r="B21" s="8">
        <f>SUMIFS(Income!$G$2:$G$121,Income!$B$2:$B$121,'Cash Flow'!A21)</f>
        <v>0</v>
      </c>
      <c r="C21" s="8">
        <f>SUMIFS(Expenses!$H$2:$H$121,Expenses!$B$2:$B$121,'Cash Flow'!A21)</f>
        <v>708</v>
      </c>
      <c r="D21" s="9">
        <f t="shared" si="0"/>
        <v>22518</v>
      </c>
    </row>
    <row r="22" spans="1:4">
      <c r="A22" s="7">
        <v>46043</v>
      </c>
      <c r="B22" s="8">
        <f>SUMIFS(Income!$G$2:$G$121,Income!$B$2:$B$121,'Cash Flow'!A22)</f>
        <v>0</v>
      </c>
      <c r="C22" s="8">
        <f>SUMIFS(Expenses!$H$2:$H$121,Expenses!$B$2:$B$121,'Cash Flow'!A22)</f>
        <v>0</v>
      </c>
      <c r="D22" s="9">
        <f t="shared" si="0"/>
        <v>22518</v>
      </c>
    </row>
    <row r="23" spans="1:4">
      <c r="A23" s="7">
        <v>46044</v>
      </c>
      <c r="B23" s="8">
        <f>SUMIFS(Income!$G$2:$G$121,Income!$B$2:$B$121,'Cash Flow'!A23)</f>
        <v>570</v>
      </c>
      <c r="C23" s="8">
        <f>SUMIFS(Expenses!$H$2:$H$121,Expenses!$B$2:$B$121,'Cash Flow'!A23)</f>
        <v>0</v>
      </c>
      <c r="D23" s="9">
        <f t="shared" si="0"/>
        <v>23088</v>
      </c>
    </row>
    <row r="24" spans="1:4">
      <c r="A24" s="7">
        <v>46045</v>
      </c>
      <c r="B24" s="8">
        <f>SUMIFS(Income!$G$2:$G$121,Income!$B$2:$B$121,'Cash Flow'!A24)</f>
        <v>0</v>
      </c>
      <c r="C24" s="8">
        <f>SUMIFS(Expenses!$H$2:$H$121,Expenses!$B$2:$B$121,'Cash Flow'!A24)</f>
        <v>790</v>
      </c>
      <c r="D24" s="9">
        <f t="shared" si="0"/>
        <v>22298</v>
      </c>
    </row>
    <row r="25" spans="1:4">
      <c r="A25" s="7">
        <v>46046</v>
      </c>
      <c r="B25" s="8">
        <f>SUMIFS(Income!$G$2:$G$121,Income!$B$2:$B$121,'Cash Flow'!A25)</f>
        <v>0</v>
      </c>
      <c r="C25" s="8">
        <f>SUMIFS(Expenses!$H$2:$H$121,Expenses!$B$2:$B$121,'Cash Flow'!A25)</f>
        <v>0</v>
      </c>
      <c r="D25" s="9">
        <f t="shared" si="0"/>
        <v>22298</v>
      </c>
    </row>
    <row r="26" spans="1:4">
      <c r="A26" s="7">
        <v>46047</v>
      </c>
      <c r="B26" s="8">
        <f>SUMIFS(Income!$G$2:$G$121,Income!$B$2:$B$121,'Cash Flow'!A26)</f>
        <v>3995</v>
      </c>
      <c r="C26" s="8">
        <f>SUMIFS(Expenses!$H$2:$H$121,Expenses!$B$2:$B$121,'Cash Flow'!A26)</f>
        <v>0</v>
      </c>
      <c r="D26" s="9">
        <f t="shared" si="0"/>
        <v>26293</v>
      </c>
    </row>
    <row r="27" spans="1:4">
      <c r="A27" s="7">
        <v>46048</v>
      </c>
      <c r="B27" s="8">
        <f>SUMIFS(Income!$G$2:$G$121,Income!$B$2:$B$121,'Cash Flow'!A27)</f>
        <v>0</v>
      </c>
      <c r="C27" s="8">
        <f>SUMIFS(Expenses!$H$2:$H$121,Expenses!$B$2:$B$121,'Cash Flow'!A27)</f>
        <v>788</v>
      </c>
      <c r="D27" s="9">
        <f t="shared" si="0"/>
        <v>25505</v>
      </c>
    </row>
    <row r="28" spans="1:4">
      <c r="A28" s="7">
        <v>46049</v>
      </c>
      <c r="B28" s="8">
        <f>SUMIFS(Income!$G$2:$G$121,Income!$B$2:$B$121,'Cash Flow'!A28)</f>
        <v>0</v>
      </c>
      <c r="C28" s="8">
        <f>SUMIFS(Expenses!$H$2:$H$121,Expenses!$B$2:$B$121,'Cash Flow'!A28)</f>
        <v>0</v>
      </c>
      <c r="D28" s="9">
        <f t="shared" si="0"/>
        <v>25505</v>
      </c>
    </row>
    <row r="29" spans="1:4">
      <c r="A29" s="7">
        <v>46050</v>
      </c>
      <c r="B29" s="8">
        <f>SUMIFS(Income!$G$2:$G$121,Income!$B$2:$B$121,'Cash Flow'!A29)</f>
        <v>4583</v>
      </c>
      <c r="C29" s="8">
        <f>SUMIFS(Expenses!$H$2:$H$121,Expenses!$B$2:$B$121,'Cash Flow'!A29)</f>
        <v>0</v>
      </c>
      <c r="D29" s="9">
        <f t="shared" si="0"/>
        <v>30088</v>
      </c>
    </row>
    <row r="30" spans="1:4">
      <c r="A30" s="7">
        <v>46051</v>
      </c>
      <c r="B30" s="8">
        <f>SUMIFS(Income!$G$2:$G$121,Income!$B$2:$B$121,'Cash Flow'!A30)</f>
        <v>0</v>
      </c>
      <c r="C30" s="8">
        <f>SUMIFS(Expenses!$H$2:$H$121,Expenses!$B$2:$B$121,'Cash Flow'!A30)</f>
        <v>537</v>
      </c>
      <c r="D30" s="9">
        <f t="shared" si="0"/>
        <v>29551</v>
      </c>
    </row>
    <row r="31" spans="1:4">
      <c r="A31" s="7">
        <v>46052</v>
      </c>
      <c r="B31" s="8">
        <f>SUMIFS(Income!$G$2:$G$121,Income!$B$2:$B$121,'Cash Flow'!A31)</f>
        <v>0</v>
      </c>
      <c r="C31" s="8">
        <f>SUMIFS(Expenses!$H$2:$H$121,Expenses!$B$2:$B$121,'Cash Flow'!A31)</f>
        <v>0</v>
      </c>
      <c r="D31" s="9">
        <f t="shared" si="0"/>
        <v>29551</v>
      </c>
    </row>
    <row r="32" spans="1:4">
      <c r="A32" s="7">
        <v>46053</v>
      </c>
      <c r="B32" s="8">
        <f>SUMIFS(Income!$G$2:$G$121,Income!$B$2:$B$121,'Cash Flow'!A32)</f>
        <v>445</v>
      </c>
      <c r="C32" s="8">
        <f>SUMIFS(Expenses!$H$2:$H$121,Expenses!$B$2:$B$121,'Cash Flow'!A32)</f>
        <v>0</v>
      </c>
      <c r="D32" s="9">
        <f t="shared" si="0"/>
        <v>29996</v>
      </c>
    </row>
    <row r="33" spans="1:4">
      <c r="A33" s="7">
        <v>46054</v>
      </c>
      <c r="B33" s="8">
        <f>SUMIFS(Income!$G$2:$G$121,Income!$B$2:$B$121,'Cash Flow'!A33)</f>
        <v>0</v>
      </c>
      <c r="C33" s="8">
        <f>SUMIFS(Expenses!$H$2:$H$121,Expenses!$B$2:$B$121,'Cash Flow'!A33)</f>
        <v>191</v>
      </c>
      <c r="D33" s="9">
        <f t="shared" si="0"/>
        <v>29805</v>
      </c>
    </row>
    <row r="34" spans="1:4">
      <c r="A34" s="7">
        <v>46055</v>
      </c>
      <c r="B34" s="8">
        <f>SUMIFS(Income!$G$2:$G$121,Income!$B$2:$B$121,'Cash Flow'!A34)</f>
        <v>0</v>
      </c>
      <c r="C34" s="8">
        <f>SUMIFS(Expenses!$H$2:$H$121,Expenses!$B$2:$B$121,'Cash Flow'!A34)</f>
        <v>0</v>
      </c>
      <c r="D34" s="9">
        <f t="shared" si="0"/>
        <v>29805</v>
      </c>
    </row>
    <row r="35" spans="1:4">
      <c r="A35" s="7">
        <v>46056</v>
      </c>
      <c r="B35" s="8">
        <f>SUMIFS(Income!$G$2:$G$121,Income!$B$2:$B$121,'Cash Flow'!A35)</f>
        <v>5004</v>
      </c>
      <c r="C35" s="8">
        <f>SUMIFS(Expenses!$H$2:$H$121,Expenses!$B$2:$B$121,'Cash Flow'!A35)</f>
        <v>0</v>
      </c>
      <c r="D35" s="9">
        <f t="shared" si="0"/>
        <v>34809</v>
      </c>
    </row>
    <row r="36" spans="1:4">
      <c r="A36" s="7">
        <v>46057</v>
      </c>
      <c r="B36" s="8">
        <f>SUMIFS(Income!$G$2:$G$121,Income!$B$2:$B$121,'Cash Flow'!A36)</f>
        <v>0</v>
      </c>
      <c r="C36" s="8">
        <f>SUMIFS(Expenses!$H$2:$H$121,Expenses!$B$2:$B$121,'Cash Flow'!A36)</f>
        <v>454</v>
      </c>
      <c r="D36" s="9">
        <f t="shared" si="0"/>
        <v>34355</v>
      </c>
    </row>
    <row r="37" spans="1:4">
      <c r="A37" s="7">
        <v>46058</v>
      </c>
      <c r="B37" s="8">
        <f>SUMIFS(Income!$G$2:$G$121,Income!$B$2:$B$121,'Cash Flow'!A37)</f>
        <v>0</v>
      </c>
      <c r="C37" s="8">
        <f>SUMIFS(Expenses!$H$2:$H$121,Expenses!$B$2:$B$121,'Cash Flow'!A37)</f>
        <v>0</v>
      </c>
      <c r="D37" s="9">
        <f t="shared" si="0"/>
        <v>34355</v>
      </c>
    </row>
    <row r="38" spans="1:4">
      <c r="A38" s="7">
        <v>46059</v>
      </c>
      <c r="B38" s="8">
        <f>SUMIFS(Income!$G$2:$G$121,Income!$B$2:$B$121,'Cash Flow'!A38)</f>
        <v>602</v>
      </c>
      <c r="C38" s="8">
        <f>SUMIFS(Expenses!$H$2:$H$121,Expenses!$B$2:$B$121,'Cash Flow'!A38)</f>
        <v>0</v>
      </c>
      <c r="D38" s="9">
        <f t="shared" si="0"/>
        <v>34957</v>
      </c>
    </row>
    <row r="39" spans="1:4">
      <c r="A39" s="7">
        <v>46060</v>
      </c>
      <c r="B39" s="8">
        <f>SUMIFS(Income!$G$2:$G$121,Income!$B$2:$B$121,'Cash Flow'!A39)</f>
        <v>0</v>
      </c>
      <c r="C39" s="8">
        <f>SUMIFS(Expenses!$H$2:$H$121,Expenses!$B$2:$B$121,'Cash Flow'!A39)</f>
        <v>1268</v>
      </c>
      <c r="D39" s="9">
        <f t="shared" si="0"/>
        <v>33689</v>
      </c>
    </row>
    <row r="40" spans="1:4">
      <c r="A40" s="7">
        <v>46061</v>
      </c>
      <c r="B40" s="8">
        <f>SUMIFS(Income!$G$2:$G$121,Income!$B$2:$B$121,'Cash Flow'!A40)</f>
        <v>0</v>
      </c>
      <c r="C40" s="8">
        <f>SUMIFS(Expenses!$H$2:$H$121,Expenses!$B$2:$B$121,'Cash Flow'!A40)</f>
        <v>0</v>
      </c>
      <c r="D40" s="9">
        <f t="shared" si="0"/>
        <v>33689</v>
      </c>
    </row>
    <row r="41" spans="1:4">
      <c r="A41" s="7">
        <v>46062</v>
      </c>
      <c r="B41" s="8">
        <f>SUMIFS(Income!$G$2:$G$121,Income!$B$2:$B$121,'Cash Flow'!A41)</f>
        <v>1166</v>
      </c>
      <c r="C41" s="8">
        <f>SUMIFS(Expenses!$H$2:$H$121,Expenses!$B$2:$B$121,'Cash Flow'!A41)</f>
        <v>0</v>
      </c>
      <c r="D41" s="9">
        <f t="shared" si="0"/>
        <v>34855</v>
      </c>
    </row>
    <row r="42" spans="1:4">
      <c r="A42" s="7">
        <v>46063</v>
      </c>
      <c r="B42" s="8">
        <f>SUMIFS(Income!$G$2:$G$121,Income!$B$2:$B$121,'Cash Flow'!A42)</f>
        <v>0</v>
      </c>
      <c r="C42" s="8">
        <f>SUMIFS(Expenses!$H$2:$H$121,Expenses!$B$2:$B$121,'Cash Flow'!A42)</f>
        <v>163</v>
      </c>
      <c r="D42" s="9">
        <f t="shared" si="0"/>
        <v>34692</v>
      </c>
    </row>
    <row r="43" spans="1:4">
      <c r="A43" s="7">
        <v>46064</v>
      </c>
      <c r="B43" s="8">
        <f>SUMIFS(Income!$G$2:$G$121,Income!$B$2:$B$121,'Cash Flow'!A43)</f>
        <v>0</v>
      </c>
      <c r="C43" s="8">
        <f>SUMIFS(Expenses!$H$2:$H$121,Expenses!$B$2:$B$121,'Cash Flow'!A43)</f>
        <v>0</v>
      </c>
      <c r="D43" s="9">
        <f t="shared" si="0"/>
        <v>34692</v>
      </c>
    </row>
    <row r="44" spans="1:4">
      <c r="A44" s="7">
        <v>46065</v>
      </c>
      <c r="B44" s="8">
        <f>SUMIFS(Income!$G$2:$G$121,Income!$B$2:$B$121,'Cash Flow'!A44)</f>
        <v>2885</v>
      </c>
      <c r="C44" s="8">
        <f>SUMIFS(Expenses!$H$2:$H$121,Expenses!$B$2:$B$121,'Cash Flow'!A44)</f>
        <v>0</v>
      </c>
      <c r="D44" s="9">
        <f t="shared" si="0"/>
        <v>37577</v>
      </c>
    </row>
    <row r="45" spans="1:4">
      <c r="A45" s="7">
        <v>46066</v>
      </c>
      <c r="B45" s="8">
        <f>SUMIFS(Income!$G$2:$G$121,Income!$B$2:$B$121,'Cash Flow'!A45)</f>
        <v>0</v>
      </c>
      <c r="C45" s="8">
        <f>SUMIFS(Expenses!$H$2:$H$121,Expenses!$B$2:$B$121,'Cash Flow'!A45)</f>
        <v>580</v>
      </c>
      <c r="D45" s="9">
        <f t="shared" si="0"/>
        <v>36997</v>
      </c>
    </row>
    <row r="46" spans="1:4">
      <c r="A46" s="7">
        <v>46067</v>
      </c>
      <c r="B46" s="8">
        <f>SUMIFS(Income!$G$2:$G$121,Income!$B$2:$B$121,'Cash Flow'!A46)</f>
        <v>0</v>
      </c>
      <c r="C46" s="8">
        <f>SUMIFS(Expenses!$H$2:$H$121,Expenses!$B$2:$B$121,'Cash Flow'!A46)</f>
        <v>0</v>
      </c>
      <c r="D46" s="9">
        <f t="shared" si="0"/>
        <v>36997</v>
      </c>
    </row>
    <row r="47" spans="1:4">
      <c r="A47" s="7">
        <v>46068</v>
      </c>
      <c r="B47" s="8">
        <f>SUMIFS(Income!$G$2:$G$121,Income!$B$2:$B$121,'Cash Flow'!A47)</f>
        <v>365</v>
      </c>
      <c r="C47" s="8">
        <f>SUMIFS(Expenses!$H$2:$H$121,Expenses!$B$2:$B$121,'Cash Flow'!A47)</f>
        <v>0</v>
      </c>
      <c r="D47" s="9">
        <f t="shared" si="0"/>
        <v>37362</v>
      </c>
    </row>
    <row r="48" spans="1:4">
      <c r="A48" s="7">
        <v>46069</v>
      </c>
      <c r="B48" s="8">
        <f>SUMIFS(Income!$G$2:$G$121,Income!$B$2:$B$121,'Cash Flow'!A48)</f>
        <v>0</v>
      </c>
      <c r="C48" s="8">
        <f>SUMIFS(Expenses!$H$2:$H$121,Expenses!$B$2:$B$121,'Cash Flow'!A48)</f>
        <v>829</v>
      </c>
      <c r="D48" s="9">
        <f t="shared" si="0"/>
        <v>36533</v>
      </c>
    </row>
    <row r="49" spans="1:4">
      <c r="A49" s="7">
        <v>46070</v>
      </c>
      <c r="B49" s="8">
        <f>SUMIFS(Income!$G$2:$G$121,Income!$B$2:$B$121,'Cash Flow'!A49)</f>
        <v>0</v>
      </c>
      <c r="C49" s="8">
        <f>SUMIFS(Expenses!$H$2:$H$121,Expenses!$B$2:$B$121,'Cash Flow'!A49)</f>
        <v>0</v>
      </c>
      <c r="D49" s="9">
        <f t="shared" si="0"/>
        <v>36533</v>
      </c>
    </row>
    <row r="50" spans="1:4">
      <c r="A50" s="7">
        <v>46071</v>
      </c>
      <c r="B50" s="8">
        <f>SUMIFS(Income!$G$2:$G$121,Income!$B$2:$B$121,'Cash Flow'!A50)</f>
        <v>4502</v>
      </c>
      <c r="C50" s="8">
        <f>SUMIFS(Expenses!$H$2:$H$121,Expenses!$B$2:$B$121,'Cash Flow'!A50)</f>
        <v>0</v>
      </c>
      <c r="D50" s="9">
        <f t="shared" si="0"/>
        <v>41035</v>
      </c>
    </row>
    <row r="51" spans="1:4">
      <c r="A51" s="7">
        <v>46072</v>
      </c>
      <c r="B51" s="8">
        <f>SUMIFS(Income!$G$2:$G$121,Income!$B$2:$B$121,'Cash Flow'!A51)</f>
        <v>0</v>
      </c>
      <c r="C51" s="8">
        <f>SUMIFS(Expenses!$H$2:$H$121,Expenses!$B$2:$B$121,'Cash Flow'!A51)</f>
        <v>1596</v>
      </c>
      <c r="D51" s="9">
        <f t="shared" si="0"/>
        <v>39439</v>
      </c>
    </row>
    <row r="52" spans="1:4">
      <c r="A52" s="7">
        <v>46073</v>
      </c>
      <c r="B52" s="8">
        <f>SUMIFS(Income!$G$2:$G$121,Income!$B$2:$B$121,'Cash Flow'!A52)</f>
        <v>0</v>
      </c>
      <c r="C52" s="8">
        <f>SUMIFS(Expenses!$H$2:$H$121,Expenses!$B$2:$B$121,'Cash Flow'!A52)</f>
        <v>0</v>
      </c>
      <c r="D52" s="9">
        <f t="shared" si="0"/>
        <v>39439</v>
      </c>
    </row>
    <row r="53" spans="1:4">
      <c r="A53" s="7">
        <v>46074</v>
      </c>
      <c r="B53" s="8">
        <f>SUMIFS(Income!$G$2:$G$121,Income!$B$2:$B$121,'Cash Flow'!A53)</f>
        <v>655</v>
      </c>
      <c r="C53" s="8">
        <f>SUMIFS(Expenses!$H$2:$H$121,Expenses!$B$2:$B$121,'Cash Flow'!A53)</f>
        <v>0</v>
      </c>
      <c r="D53" s="9">
        <f t="shared" si="0"/>
        <v>40094</v>
      </c>
    </row>
    <row r="54" spans="1:4">
      <c r="A54" s="7">
        <v>46075</v>
      </c>
      <c r="B54" s="8">
        <f>SUMIFS(Income!$G$2:$G$121,Income!$B$2:$B$121,'Cash Flow'!A54)</f>
        <v>0</v>
      </c>
      <c r="C54" s="8">
        <f>SUMIFS(Expenses!$H$2:$H$121,Expenses!$B$2:$B$121,'Cash Flow'!A54)</f>
        <v>284</v>
      </c>
      <c r="D54" s="9">
        <f t="shared" si="0"/>
        <v>39810</v>
      </c>
    </row>
    <row r="55" spans="1:4">
      <c r="A55" s="7">
        <v>46076</v>
      </c>
      <c r="B55" s="8">
        <f>SUMIFS(Income!$G$2:$G$121,Income!$B$2:$B$121,'Cash Flow'!A55)</f>
        <v>0</v>
      </c>
      <c r="C55" s="8">
        <f>SUMIFS(Expenses!$H$2:$H$121,Expenses!$B$2:$B$121,'Cash Flow'!A55)</f>
        <v>0</v>
      </c>
      <c r="D55" s="9">
        <f t="shared" si="0"/>
        <v>39810</v>
      </c>
    </row>
    <row r="56" spans="1:4">
      <c r="A56" s="7">
        <v>46077</v>
      </c>
      <c r="B56" s="8">
        <f>SUMIFS(Income!$G$2:$G$121,Income!$B$2:$B$121,'Cash Flow'!A56)</f>
        <v>447</v>
      </c>
      <c r="C56" s="8">
        <f>SUMIFS(Expenses!$H$2:$H$121,Expenses!$B$2:$B$121,'Cash Flow'!A56)</f>
        <v>0</v>
      </c>
      <c r="D56" s="9">
        <f t="shared" si="0"/>
        <v>40257</v>
      </c>
    </row>
    <row r="57" spans="1:4">
      <c r="A57" s="7">
        <v>46078</v>
      </c>
      <c r="B57" s="8">
        <f>SUMIFS(Income!$G$2:$G$121,Income!$B$2:$B$121,'Cash Flow'!A57)</f>
        <v>0</v>
      </c>
      <c r="C57" s="8">
        <f>SUMIFS(Expenses!$H$2:$H$121,Expenses!$B$2:$B$121,'Cash Flow'!A57)</f>
        <v>584</v>
      </c>
      <c r="D57" s="9">
        <f t="shared" si="0"/>
        <v>39673</v>
      </c>
    </row>
    <row r="58" spans="1:4">
      <c r="A58" s="7">
        <v>46079</v>
      </c>
      <c r="B58" s="8">
        <f>SUMIFS(Income!$G$2:$G$121,Income!$B$2:$B$121,'Cash Flow'!A58)</f>
        <v>0</v>
      </c>
      <c r="C58" s="8">
        <f>SUMIFS(Expenses!$H$2:$H$121,Expenses!$B$2:$B$121,'Cash Flow'!A58)</f>
        <v>0</v>
      </c>
      <c r="D58" s="9">
        <f t="shared" si="0"/>
        <v>39673</v>
      </c>
    </row>
    <row r="59" spans="1:4">
      <c r="A59" s="7">
        <v>46080</v>
      </c>
      <c r="B59" s="8">
        <f>SUMIFS(Income!$G$2:$G$121,Income!$B$2:$B$121,'Cash Flow'!A59)</f>
        <v>80</v>
      </c>
      <c r="C59" s="8">
        <f>SUMIFS(Expenses!$H$2:$H$121,Expenses!$B$2:$B$121,'Cash Flow'!A59)</f>
        <v>0</v>
      </c>
      <c r="D59" s="9">
        <f t="shared" si="0"/>
        <v>39753</v>
      </c>
    </row>
    <row r="60" spans="1:4">
      <c r="A60" s="7">
        <v>46081</v>
      </c>
      <c r="B60" s="8">
        <f>SUMIFS(Income!$G$2:$G$121,Income!$B$2:$B$121,'Cash Flow'!A60)</f>
        <v>0</v>
      </c>
      <c r="C60" s="8">
        <f>SUMIFS(Expenses!$H$2:$H$121,Expenses!$B$2:$B$121,'Cash Flow'!A60)</f>
        <v>1123</v>
      </c>
      <c r="D60" s="9">
        <f t="shared" si="0"/>
        <v>38630</v>
      </c>
    </row>
    <row r="61" spans="1:4">
      <c r="A61" s="7">
        <v>46082</v>
      </c>
      <c r="B61" s="8">
        <f>SUMIFS(Income!$G$2:$G$121,Income!$B$2:$B$121,'Cash Flow'!A61)</f>
        <v>0</v>
      </c>
      <c r="C61" s="8">
        <f>SUMIFS(Expenses!$H$2:$H$121,Expenses!$B$2:$B$121,'Cash Flow'!A61)</f>
        <v>0</v>
      </c>
      <c r="D61" s="9">
        <f t="shared" si="0"/>
        <v>38630</v>
      </c>
    </row>
    <row r="62" spans="1:4">
      <c r="A62" s="7">
        <v>46083</v>
      </c>
      <c r="B62" s="8">
        <f>SUMIFS(Income!$G$2:$G$121,Income!$B$2:$B$121,'Cash Flow'!A62)</f>
        <v>4371</v>
      </c>
      <c r="C62" s="8">
        <f>SUMIFS(Expenses!$H$2:$H$121,Expenses!$B$2:$B$121,'Cash Flow'!A62)</f>
        <v>0</v>
      </c>
      <c r="D62" s="9">
        <f t="shared" si="0"/>
        <v>43001</v>
      </c>
    </row>
    <row r="63" spans="1:4">
      <c r="A63" s="7">
        <v>46084</v>
      </c>
      <c r="B63" s="8">
        <f>SUMIFS(Income!$G$2:$G$121,Income!$B$2:$B$121,'Cash Flow'!A63)</f>
        <v>0</v>
      </c>
      <c r="C63" s="8">
        <f>SUMIFS(Expenses!$H$2:$H$121,Expenses!$B$2:$B$121,'Cash Flow'!A63)</f>
        <v>1479</v>
      </c>
      <c r="D63" s="9">
        <f t="shared" si="0"/>
        <v>41522</v>
      </c>
    </row>
    <row r="64" spans="1:4">
      <c r="A64" s="7">
        <v>46085</v>
      </c>
      <c r="B64" s="8">
        <f>SUMIFS(Income!$G$2:$G$121,Income!$B$2:$B$121,'Cash Flow'!A64)</f>
        <v>0</v>
      </c>
      <c r="C64" s="8">
        <f>SUMIFS(Expenses!$H$2:$H$121,Expenses!$B$2:$B$121,'Cash Flow'!A64)</f>
        <v>0</v>
      </c>
      <c r="D64" s="9">
        <f t="shared" si="0"/>
        <v>41522</v>
      </c>
    </row>
    <row r="65" spans="1:4">
      <c r="A65" s="7">
        <v>46086</v>
      </c>
      <c r="B65" s="8">
        <f>SUMIFS(Income!$G$2:$G$121,Income!$B$2:$B$121,'Cash Flow'!A65)</f>
        <v>512</v>
      </c>
      <c r="C65" s="8">
        <f>SUMIFS(Expenses!$H$2:$H$121,Expenses!$B$2:$B$121,'Cash Flow'!A65)</f>
        <v>0</v>
      </c>
      <c r="D65" s="9">
        <f t="shared" si="0"/>
        <v>42034</v>
      </c>
    </row>
    <row r="66" spans="1:4">
      <c r="A66" s="7">
        <v>46087</v>
      </c>
      <c r="B66" s="8">
        <f>SUMIFS(Income!$G$2:$G$121,Income!$B$2:$B$121,'Cash Flow'!A66)</f>
        <v>0</v>
      </c>
      <c r="C66" s="8">
        <f>SUMIFS(Expenses!$H$2:$H$121,Expenses!$B$2:$B$121,'Cash Flow'!A66)</f>
        <v>2803</v>
      </c>
      <c r="D66" s="9">
        <f t="shared" si="0"/>
        <v>39231</v>
      </c>
    </row>
    <row r="67" spans="1:4">
      <c r="A67" s="7">
        <v>46088</v>
      </c>
      <c r="B67" s="8">
        <f>SUMIFS(Income!$G$2:$G$121,Income!$B$2:$B$121,'Cash Flow'!A67)</f>
        <v>0</v>
      </c>
      <c r="C67" s="8">
        <f>SUMIFS(Expenses!$H$2:$H$121,Expenses!$B$2:$B$121,'Cash Flow'!A67)</f>
        <v>0</v>
      </c>
      <c r="D67" s="9">
        <f t="shared" si="0"/>
        <v>39231</v>
      </c>
    </row>
    <row r="68" spans="1:4">
      <c r="A68" s="7">
        <v>46089</v>
      </c>
      <c r="B68" s="8">
        <f>SUMIFS(Income!$G$2:$G$121,Income!$B$2:$B$121,'Cash Flow'!A68)</f>
        <v>345</v>
      </c>
      <c r="C68" s="8">
        <f>SUMIFS(Expenses!$H$2:$H$121,Expenses!$B$2:$B$121,'Cash Flow'!A68)</f>
        <v>0</v>
      </c>
      <c r="D68" s="9">
        <f t="shared" si="0"/>
        <v>39576</v>
      </c>
    </row>
    <row r="69" spans="1:4">
      <c r="A69" s="7">
        <v>46090</v>
      </c>
      <c r="B69" s="8">
        <f>SUMIFS(Income!$G$2:$G$121,Income!$B$2:$B$121,'Cash Flow'!A69)</f>
        <v>0</v>
      </c>
      <c r="C69" s="8">
        <f>SUMIFS(Expenses!$H$2:$H$121,Expenses!$B$2:$B$121,'Cash Flow'!A69)</f>
        <v>809</v>
      </c>
      <c r="D69" s="9">
        <f t="shared" ref="D69:D132" si="1">D68+B69-C69</f>
        <v>38767</v>
      </c>
    </row>
    <row r="70" spans="1:4">
      <c r="A70" s="7">
        <v>46091</v>
      </c>
      <c r="B70" s="8">
        <f>SUMIFS(Income!$G$2:$G$121,Income!$B$2:$B$121,'Cash Flow'!A70)</f>
        <v>0</v>
      </c>
      <c r="C70" s="8">
        <f>SUMIFS(Expenses!$H$2:$H$121,Expenses!$B$2:$B$121,'Cash Flow'!A70)</f>
        <v>0</v>
      </c>
      <c r="D70" s="9">
        <f t="shared" si="1"/>
        <v>38767</v>
      </c>
    </row>
    <row r="71" spans="1:4">
      <c r="A71" s="7">
        <v>46092</v>
      </c>
      <c r="B71" s="8">
        <f>SUMIFS(Income!$G$2:$G$121,Income!$B$2:$B$121,'Cash Flow'!A71)</f>
        <v>514</v>
      </c>
      <c r="C71" s="8">
        <f>SUMIFS(Expenses!$H$2:$H$121,Expenses!$B$2:$B$121,'Cash Flow'!A71)</f>
        <v>0</v>
      </c>
      <c r="D71" s="9">
        <f t="shared" si="1"/>
        <v>39281</v>
      </c>
    </row>
    <row r="72" spans="1:4">
      <c r="A72" s="7">
        <v>46093</v>
      </c>
      <c r="B72" s="8">
        <f>SUMIFS(Income!$G$2:$G$121,Income!$B$2:$B$121,'Cash Flow'!A72)</f>
        <v>0</v>
      </c>
      <c r="C72" s="8">
        <f>SUMIFS(Expenses!$H$2:$H$121,Expenses!$B$2:$B$121,'Cash Flow'!A72)</f>
        <v>1126</v>
      </c>
      <c r="D72" s="9">
        <f t="shared" si="1"/>
        <v>38155</v>
      </c>
    </row>
    <row r="73" spans="1:4">
      <c r="A73" s="7">
        <v>46094</v>
      </c>
      <c r="B73" s="8">
        <f>SUMIFS(Income!$G$2:$G$121,Income!$B$2:$B$121,'Cash Flow'!A73)</f>
        <v>0</v>
      </c>
      <c r="C73" s="8">
        <f>SUMIFS(Expenses!$H$2:$H$121,Expenses!$B$2:$B$121,'Cash Flow'!A73)</f>
        <v>0</v>
      </c>
      <c r="D73" s="9">
        <f t="shared" si="1"/>
        <v>38155</v>
      </c>
    </row>
    <row r="74" spans="1:4">
      <c r="A74" s="7">
        <v>46095</v>
      </c>
      <c r="B74" s="8">
        <f>SUMIFS(Income!$G$2:$G$121,Income!$B$2:$B$121,'Cash Flow'!A74)</f>
        <v>455</v>
      </c>
      <c r="C74" s="8">
        <f>SUMIFS(Expenses!$H$2:$H$121,Expenses!$B$2:$B$121,'Cash Flow'!A74)</f>
        <v>0</v>
      </c>
      <c r="D74" s="9">
        <f t="shared" si="1"/>
        <v>38610</v>
      </c>
    </row>
    <row r="75" spans="1:4">
      <c r="A75" s="7">
        <v>46096</v>
      </c>
      <c r="B75" s="8">
        <f>SUMIFS(Income!$G$2:$G$121,Income!$B$2:$B$121,'Cash Flow'!A75)</f>
        <v>0</v>
      </c>
      <c r="C75" s="8">
        <f>SUMIFS(Expenses!$H$2:$H$121,Expenses!$B$2:$B$121,'Cash Flow'!A75)</f>
        <v>354</v>
      </c>
      <c r="D75" s="9">
        <f t="shared" si="1"/>
        <v>38256</v>
      </c>
    </row>
    <row r="76" spans="1:4">
      <c r="A76" s="7">
        <v>46097</v>
      </c>
      <c r="B76" s="8">
        <f>SUMIFS(Income!$G$2:$G$121,Income!$B$2:$B$121,'Cash Flow'!A76)</f>
        <v>0</v>
      </c>
      <c r="C76" s="8">
        <f>SUMIFS(Expenses!$H$2:$H$121,Expenses!$B$2:$B$121,'Cash Flow'!A76)</f>
        <v>0</v>
      </c>
      <c r="D76" s="9">
        <f t="shared" si="1"/>
        <v>38256</v>
      </c>
    </row>
    <row r="77" spans="1:4">
      <c r="A77" s="7">
        <v>46098</v>
      </c>
      <c r="B77" s="8">
        <f>SUMIFS(Income!$G$2:$G$121,Income!$B$2:$B$121,'Cash Flow'!A77)</f>
        <v>665</v>
      </c>
      <c r="C77" s="8">
        <f>SUMIFS(Expenses!$H$2:$H$121,Expenses!$B$2:$B$121,'Cash Flow'!A77)</f>
        <v>0</v>
      </c>
      <c r="D77" s="9">
        <f t="shared" si="1"/>
        <v>38921</v>
      </c>
    </row>
    <row r="78" spans="1:4">
      <c r="A78" s="7">
        <v>46099</v>
      </c>
      <c r="B78" s="8">
        <f>SUMIFS(Income!$G$2:$G$121,Income!$B$2:$B$121,'Cash Flow'!A78)</f>
        <v>0</v>
      </c>
      <c r="C78" s="8">
        <f>SUMIFS(Expenses!$H$2:$H$121,Expenses!$B$2:$B$121,'Cash Flow'!A78)</f>
        <v>855</v>
      </c>
      <c r="D78" s="9">
        <f t="shared" si="1"/>
        <v>38066</v>
      </c>
    </row>
    <row r="79" spans="1:4">
      <c r="A79" s="7">
        <v>46100</v>
      </c>
      <c r="B79" s="8">
        <f>SUMIFS(Income!$G$2:$G$121,Income!$B$2:$B$121,'Cash Flow'!A79)</f>
        <v>0</v>
      </c>
      <c r="C79" s="8">
        <f>SUMIFS(Expenses!$H$2:$H$121,Expenses!$B$2:$B$121,'Cash Flow'!A79)</f>
        <v>0</v>
      </c>
      <c r="D79" s="9">
        <f t="shared" si="1"/>
        <v>38066</v>
      </c>
    </row>
    <row r="80" spans="1:4">
      <c r="A80" s="7">
        <v>46101</v>
      </c>
      <c r="B80" s="8">
        <f>SUMIFS(Income!$G$2:$G$121,Income!$B$2:$B$121,'Cash Flow'!A80)</f>
        <v>96</v>
      </c>
      <c r="C80" s="8">
        <f>SUMIFS(Expenses!$H$2:$H$121,Expenses!$B$2:$B$121,'Cash Flow'!A80)</f>
        <v>0</v>
      </c>
      <c r="D80" s="9">
        <f t="shared" si="1"/>
        <v>38162</v>
      </c>
    </row>
    <row r="81" spans="1:4">
      <c r="A81" s="7">
        <v>46102</v>
      </c>
      <c r="B81" s="8">
        <f>SUMIFS(Income!$G$2:$G$121,Income!$B$2:$B$121,'Cash Flow'!A81)</f>
        <v>0</v>
      </c>
      <c r="C81" s="8">
        <f>SUMIFS(Expenses!$H$2:$H$121,Expenses!$B$2:$B$121,'Cash Flow'!A81)</f>
        <v>1385</v>
      </c>
      <c r="D81" s="9">
        <f t="shared" si="1"/>
        <v>36777</v>
      </c>
    </row>
    <row r="82" spans="1:4">
      <c r="A82" s="7">
        <v>46103</v>
      </c>
      <c r="B82" s="8">
        <f>SUMIFS(Income!$G$2:$G$121,Income!$B$2:$B$121,'Cash Flow'!A82)</f>
        <v>0</v>
      </c>
      <c r="C82" s="8">
        <f>SUMIFS(Expenses!$H$2:$H$121,Expenses!$B$2:$B$121,'Cash Flow'!A82)</f>
        <v>0</v>
      </c>
      <c r="D82" s="9">
        <f t="shared" si="1"/>
        <v>36777</v>
      </c>
    </row>
    <row r="83" spans="1:4">
      <c r="A83" s="7">
        <v>46104</v>
      </c>
      <c r="B83" s="8">
        <f>SUMIFS(Income!$G$2:$G$121,Income!$B$2:$B$121,'Cash Flow'!A83)</f>
        <v>414</v>
      </c>
      <c r="C83" s="8">
        <f>SUMIFS(Expenses!$H$2:$H$121,Expenses!$B$2:$B$121,'Cash Flow'!A83)</f>
        <v>0</v>
      </c>
      <c r="D83" s="9">
        <f t="shared" si="1"/>
        <v>37191</v>
      </c>
    </row>
    <row r="84" spans="1:4">
      <c r="A84" s="7">
        <v>46105</v>
      </c>
      <c r="B84" s="8">
        <f>SUMIFS(Income!$G$2:$G$121,Income!$B$2:$B$121,'Cash Flow'!A84)</f>
        <v>0</v>
      </c>
      <c r="C84" s="8">
        <f>SUMIFS(Expenses!$H$2:$H$121,Expenses!$B$2:$B$121,'Cash Flow'!A84)</f>
        <v>351</v>
      </c>
      <c r="D84" s="9">
        <f t="shared" si="1"/>
        <v>36840</v>
      </c>
    </row>
    <row r="85" spans="1:4">
      <c r="A85" s="7">
        <v>46106</v>
      </c>
      <c r="B85" s="8">
        <f>SUMIFS(Income!$G$2:$G$121,Income!$B$2:$B$121,'Cash Flow'!A85)</f>
        <v>0</v>
      </c>
      <c r="C85" s="8">
        <f>SUMIFS(Expenses!$H$2:$H$121,Expenses!$B$2:$B$121,'Cash Flow'!A85)</f>
        <v>0</v>
      </c>
      <c r="D85" s="9">
        <f t="shared" si="1"/>
        <v>36840</v>
      </c>
    </row>
    <row r="86" spans="1:4">
      <c r="A86" s="7">
        <v>46107</v>
      </c>
      <c r="B86" s="8">
        <f>SUMIFS(Income!$G$2:$G$121,Income!$B$2:$B$121,'Cash Flow'!A86)</f>
        <v>414</v>
      </c>
      <c r="C86" s="8">
        <f>SUMIFS(Expenses!$H$2:$H$121,Expenses!$B$2:$B$121,'Cash Flow'!A86)</f>
        <v>0</v>
      </c>
      <c r="D86" s="9">
        <f t="shared" si="1"/>
        <v>37254</v>
      </c>
    </row>
    <row r="87" spans="1:4">
      <c r="A87" s="7">
        <v>46108</v>
      </c>
      <c r="B87" s="8">
        <f>SUMIFS(Income!$G$2:$G$121,Income!$B$2:$B$121,'Cash Flow'!A87)</f>
        <v>0</v>
      </c>
      <c r="C87" s="8">
        <f>SUMIFS(Expenses!$H$2:$H$121,Expenses!$B$2:$B$121,'Cash Flow'!A87)</f>
        <v>1821</v>
      </c>
      <c r="D87" s="9">
        <f t="shared" si="1"/>
        <v>35433</v>
      </c>
    </row>
    <row r="88" spans="1:4">
      <c r="A88" s="7">
        <v>46109</v>
      </c>
      <c r="B88" s="8">
        <f>SUMIFS(Income!$G$2:$G$121,Income!$B$2:$B$121,'Cash Flow'!A88)</f>
        <v>0</v>
      </c>
      <c r="C88" s="8">
        <f>SUMIFS(Expenses!$H$2:$H$121,Expenses!$B$2:$B$121,'Cash Flow'!A88)</f>
        <v>0</v>
      </c>
      <c r="D88" s="9">
        <f t="shared" si="1"/>
        <v>35433</v>
      </c>
    </row>
    <row r="89" spans="1:4">
      <c r="A89" s="7">
        <v>46110</v>
      </c>
      <c r="B89" s="8">
        <f>SUMIFS(Income!$G$2:$G$121,Income!$B$2:$B$121,'Cash Flow'!A89)</f>
        <v>234</v>
      </c>
      <c r="C89" s="8">
        <f>SUMIFS(Expenses!$H$2:$H$121,Expenses!$B$2:$B$121,'Cash Flow'!A89)</f>
        <v>0</v>
      </c>
      <c r="D89" s="9">
        <f t="shared" si="1"/>
        <v>35667</v>
      </c>
    </row>
    <row r="90" spans="1:4">
      <c r="A90" s="7">
        <v>46111</v>
      </c>
      <c r="B90" s="8">
        <f>SUMIFS(Income!$G$2:$G$121,Income!$B$2:$B$121,'Cash Flow'!A90)</f>
        <v>0</v>
      </c>
      <c r="C90" s="8">
        <f>SUMIFS(Expenses!$H$2:$H$121,Expenses!$B$2:$B$121,'Cash Flow'!A90)</f>
        <v>356</v>
      </c>
      <c r="D90" s="9">
        <f t="shared" si="1"/>
        <v>35311</v>
      </c>
    </row>
    <row r="91" spans="1:4">
      <c r="A91" s="7">
        <v>46112</v>
      </c>
      <c r="B91" s="8">
        <f>SUMIFS(Income!$G$2:$G$121,Income!$B$2:$B$121,'Cash Flow'!A91)</f>
        <v>0</v>
      </c>
      <c r="C91" s="8">
        <f>SUMIFS(Expenses!$H$2:$H$121,Expenses!$B$2:$B$121,'Cash Flow'!A91)</f>
        <v>0</v>
      </c>
      <c r="D91" s="9">
        <f t="shared" si="1"/>
        <v>35311</v>
      </c>
    </row>
    <row r="92" spans="1:4">
      <c r="A92" s="7">
        <v>46113</v>
      </c>
      <c r="B92" s="8">
        <f>SUMIFS(Income!$G$2:$G$121,Income!$B$2:$B$121,'Cash Flow'!A92)</f>
        <v>2620</v>
      </c>
      <c r="C92" s="8">
        <f>SUMIFS(Expenses!$H$2:$H$121,Expenses!$B$2:$B$121,'Cash Flow'!A92)</f>
        <v>0</v>
      </c>
      <c r="D92" s="9">
        <f t="shared" si="1"/>
        <v>37931</v>
      </c>
    </row>
    <row r="93" spans="1:4">
      <c r="A93" s="7">
        <v>46114</v>
      </c>
      <c r="B93" s="8">
        <f>SUMIFS(Income!$G$2:$G$121,Income!$B$2:$B$121,'Cash Flow'!A93)</f>
        <v>0</v>
      </c>
      <c r="C93" s="8">
        <f>SUMIFS(Expenses!$H$2:$H$121,Expenses!$B$2:$B$121,'Cash Flow'!A93)</f>
        <v>312</v>
      </c>
      <c r="D93" s="9">
        <f t="shared" si="1"/>
        <v>37619</v>
      </c>
    </row>
    <row r="94" spans="1:4">
      <c r="A94" s="7">
        <v>46115</v>
      </c>
      <c r="B94" s="8">
        <f>SUMIFS(Income!$G$2:$G$121,Income!$B$2:$B$121,'Cash Flow'!A94)</f>
        <v>0</v>
      </c>
      <c r="C94" s="8">
        <f>SUMIFS(Expenses!$H$2:$H$121,Expenses!$B$2:$B$121,'Cash Flow'!A94)</f>
        <v>0</v>
      </c>
      <c r="D94" s="9">
        <f t="shared" si="1"/>
        <v>37619</v>
      </c>
    </row>
    <row r="95" spans="1:4">
      <c r="A95" s="7">
        <v>46116</v>
      </c>
      <c r="B95" s="8">
        <f>SUMIFS(Income!$G$2:$G$121,Income!$B$2:$B$121,'Cash Flow'!A95)</f>
        <v>197</v>
      </c>
      <c r="C95" s="8">
        <f>SUMIFS(Expenses!$H$2:$H$121,Expenses!$B$2:$B$121,'Cash Flow'!A95)</f>
        <v>0</v>
      </c>
      <c r="D95" s="9">
        <f t="shared" si="1"/>
        <v>37816</v>
      </c>
    </row>
    <row r="96" spans="1:4">
      <c r="A96" s="7">
        <v>46117</v>
      </c>
      <c r="B96" s="8">
        <f>SUMIFS(Income!$G$2:$G$121,Income!$B$2:$B$121,'Cash Flow'!A96)</f>
        <v>0</v>
      </c>
      <c r="C96" s="8">
        <f>SUMIFS(Expenses!$H$2:$H$121,Expenses!$B$2:$B$121,'Cash Flow'!A96)</f>
        <v>461</v>
      </c>
      <c r="D96" s="9">
        <f t="shared" si="1"/>
        <v>37355</v>
      </c>
    </row>
    <row r="97" spans="1:4">
      <c r="A97" s="7">
        <v>46118</v>
      </c>
      <c r="B97" s="8">
        <f>SUMIFS(Income!$G$2:$G$121,Income!$B$2:$B$121,'Cash Flow'!A97)</f>
        <v>0</v>
      </c>
      <c r="C97" s="8">
        <f>SUMIFS(Expenses!$H$2:$H$121,Expenses!$B$2:$B$121,'Cash Flow'!A97)</f>
        <v>0</v>
      </c>
      <c r="D97" s="9">
        <f t="shared" si="1"/>
        <v>37355</v>
      </c>
    </row>
    <row r="98" spans="1:4">
      <c r="A98" s="7">
        <v>46119</v>
      </c>
      <c r="B98" s="8">
        <f>SUMIFS(Income!$G$2:$G$121,Income!$B$2:$B$121,'Cash Flow'!A98)</f>
        <v>555</v>
      </c>
      <c r="C98" s="8">
        <f>SUMIFS(Expenses!$H$2:$H$121,Expenses!$B$2:$B$121,'Cash Flow'!A98)</f>
        <v>0</v>
      </c>
      <c r="D98" s="9">
        <f t="shared" si="1"/>
        <v>37910</v>
      </c>
    </row>
    <row r="99" spans="1:4">
      <c r="A99" s="7">
        <v>46120</v>
      </c>
      <c r="B99" s="8">
        <f>SUMIFS(Income!$G$2:$G$121,Income!$B$2:$B$121,'Cash Flow'!A99)</f>
        <v>0</v>
      </c>
      <c r="C99" s="8">
        <f>SUMIFS(Expenses!$H$2:$H$121,Expenses!$B$2:$B$121,'Cash Flow'!A99)</f>
        <v>293</v>
      </c>
      <c r="D99" s="9">
        <f t="shared" si="1"/>
        <v>37617</v>
      </c>
    </row>
    <row r="100" spans="1:4">
      <c r="A100" s="7">
        <v>46121</v>
      </c>
      <c r="B100" s="8">
        <f>SUMIFS(Income!$G$2:$G$121,Income!$B$2:$B$121,'Cash Flow'!A100)</f>
        <v>0</v>
      </c>
      <c r="C100" s="8">
        <f>SUMIFS(Expenses!$H$2:$H$121,Expenses!$B$2:$B$121,'Cash Flow'!A100)</f>
        <v>0</v>
      </c>
      <c r="D100" s="9">
        <f t="shared" si="1"/>
        <v>37617</v>
      </c>
    </row>
    <row r="101" spans="1:4">
      <c r="A101" s="7">
        <v>46122</v>
      </c>
      <c r="B101" s="8">
        <f>SUMIFS(Income!$G$2:$G$121,Income!$B$2:$B$121,'Cash Flow'!A101)</f>
        <v>456</v>
      </c>
      <c r="C101" s="8">
        <f>SUMIFS(Expenses!$H$2:$H$121,Expenses!$B$2:$B$121,'Cash Flow'!A101)</f>
        <v>0</v>
      </c>
      <c r="D101" s="9">
        <f t="shared" si="1"/>
        <v>38073</v>
      </c>
    </row>
    <row r="102" spans="1:4">
      <c r="A102" s="7">
        <v>46123</v>
      </c>
      <c r="B102" s="8">
        <f>SUMIFS(Income!$G$2:$G$121,Income!$B$2:$B$121,'Cash Flow'!A102)</f>
        <v>0</v>
      </c>
      <c r="C102" s="8">
        <f>SUMIFS(Expenses!$H$2:$H$121,Expenses!$B$2:$B$121,'Cash Flow'!A102)</f>
        <v>509</v>
      </c>
      <c r="D102" s="9">
        <f t="shared" si="1"/>
        <v>37564</v>
      </c>
    </row>
    <row r="103" spans="1:4">
      <c r="A103" s="7">
        <v>46124</v>
      </c>
      <c r="B103" s="8">
        <f>SUMIFS(Income!$G$2:$G$121,Income!$B$2:$B$121,'Cash Flow'!A103)</f>
        <v>0</v>
      </c>
      <c r="C103" s="8">
        <f>SUMIFS(Expenses!$H$2:$H$121,Expenses!$B$2:$B$121,'Cash Flow'!A103)</f>
        <v>0</v>
      </c>
      <c r="D103" s="9">
        <f t="shared" si="1"/>
        <v>37564</v>
      </c>
    </row>
    <row r="104" spans="1:4">
      <c r="A104" s="7">
        <v>46125</v>
      </c>
      <c r="B104" s="8">
        <f>SUMIFS(Income!$G$2:$G$121,Income!$B$2:$B$121,'Cash Flow'!A104)</f>
        <v>661</v>
      </c>
      <c r="C104" s="8">
        <f>SUMIFS(Expenses!$H$2:$H$121,Expenses!$B$2:$B$121,'Cash Flow'!A104)</f>
        <v>0</v>
      </c>
      <c r="D104" s="9">
        <f t="shared" si="1"/>
        <v>38225</v>
      </c>
    </row>
    <row r="105" spans="1:4">
      <c r="A105" s="7">
        <v>46126</v>
      </c>
      <c r="B105" s="8">
        <f>SUMIFS(Income!$G$2:$G$121,Income!$B$2:$B$121,'Cash Flow'!A105)</f>
        <v>0</v>
      </c>
      <c r="C105" s="8">
        <f>SUMIFS(Expenses!$H$2:$H$121,Expenses!$B$2:$B$121,'Cash Flow'!A105)</f>
        <v>1907</v>
      </c>
      <c r="D105" s="9">
        <f t="shared" si="1"/>
        <v>36318</v>
      </c>
    </row>
    <row r="106" spans="1:4">
      <c r="A106" s="7">
        <v>46127</v>
      </c>
      <c r="B106" s="8">
        <f>SUMIFS(Income!$G$2:$G$121,Income!$B$2:$B$121,'Cash Flow'!A106)</f>
        <v>0</v>
      </c>
      <c r="C106" s="8">
        <f>SUMIFS(Expenses!$H$2:$H$121,Expenses!$B$2:$B$121,'Cash Flow'!A106)</f>
        <v>0</v>
      </c>
      <c r="D106" s="9">
        <f t="shared" si="1"/>
        <v>36318</v>
      </c>
    </row>
    <row r="107" spans="1:4">
      <c r="A107" s="7">
        <v>46128</v>
      </c>
      <c r="B107" s="8">
        <f>SUMIFS(Income!$G$2:$G$121,Income!$B$2:$B$121,'Cash Flow'!A107)</f>
        <v>827</v>
      </c>
      <c r="C107" s="8">
        <f>SUMIFS(Expenses!$H$2:$H$121,Expenses!$B$2:$B$121,'Cash Flow'!A107)</f>
        <v>0</v>
      </c>
      <c r="D107" s="9">
        <f t="shared" si="1"/>
        <v>37145</v>
      </c>
    </row>
    <row r="108" spans="1:4">
      <c r="A108" s="7">
        <v>46129</v>
      </c>
      <c r="B108" s="8">
        <f>SUMIFS(Income!$G$2:$G$121,Income!$B$2:$B$121,'Cash Flow'!A108)</f>
        <v>0</v>
      </c>
      <c r="C108" s="8">
        <f>SUMIFS(Expenses!$H$2:$H$121,Expenses!$B$2:$B$121,'Cash Flow'!A108)</f>
        <v>427</v>
      </c>
      <c r="D108" s="9">
        <f t="shared" si="1"/>
        <v>36718</v>
      </c>
    </row>
    <row r="109" spans="1:4">
      <c r="A109" s="7">
        <v>46130</v>
      </c>
      <c r="B109" s="8">
        <f>SUMIFS(Income!$G$2:$G$121,Income!$B$2:$B$121,'Cash Flow'!A109)</f>
        <v>0</v>
      </c>
      <c r="C109" s="8">
        <f>SUMIFS(Expenses!$H$2:$H$121,Expenses!$B$2:$B$121,'Cash Flow'!A109)</f>
        <v>0</v>
      </c>
      <c r="D109" s="9">
        <f t="shared" si="1"/>
        <v>36718</v>
      </c>
    </row>
    <row r="110" spans="1:4">
      <c r="A110" s="7">
        <v>46131</v>
      </c>
      <c r="B110" s="8">
        <f>SUMIFS(Income!$G$2:$G$121,Income!$B$2:$B$121,'Cash Flow'!A110)</f>
        <v>438</v>
      </c>
      <c r="C110" s="8">
        <f>SUMIFS(Expenses!$H$2:$H$121,Expenses!$B$2:$B$121,'Cash Flow'!A110)</f>
        <v>0</v>
      </c>
      <c r="D110" s="9">
        <f t="shared" si="1"/>
        <v>37156</v>
      </c>
    </row>
    <row r="111" spans="1:4">
      <c r="A111" s="7">
        <v>46132</v>
      </c>
      <c r="B111" s="8">
        <f>SUMIFS(Income!$G$2:$G$121,Income!$B$2:$B$121,'Cash Flow'!A111)</f>
        <v>0</v>
      </c>
      <c r="C111" s="8">
        <f>SUMIFS(Expenses!$H$2:$H$121,Expenses!$B$2:$B$121,'Cash Flow'!A111)</f>
        <v>971</v>
      </c>
      <c r="D111" s="9">
        <f t="shared" si="1"/>
        <v>36185</v>
      </c>
    </row>
    <row r="112" spans="1:4">
      <c r="A112" s="7">
        <v>46133</v>
      </c>
      <c r="B112" s="8">
        <f>SUMIFS(Income!$G$2:$G$121,Income!$B$2:$B$121,'Cash Flow'!A112)</f>
        <v>0</v>
      </c>
      <c r="C112" s="8">
        <f>SUMIFS(Expenses!$H$2:$H$121,Expenses!$B$2:$B$121,'Cash Flow'!A112)</f>
        <v>0</v>
      </c>
      <c r="D112" s="9">
        <f t="shared" si="1"/>
        <v>36185</v>
      </c>
    </row>
    <row r="113" spans="1:4">
      <c r="A113" s="7">
        <v>46134</v>
      </c>
      <c r="B113" s="8">
        <f>SUMIFS(Income!$G$2:$G$121,Income!$B$2:$B$121,'Cash Flow'!A113)</f>
        <v>4436</v>
      </c>
      <c r="C113" s="8">
        <f>SUMIFS(Expenses!$H$2:$H$121,Expenses!$B$2:$B$121,'Cash Flow'!A113)</f>
        <v>0</v>
      </c>
      <c r="D113" s="9">
        <f t="shared" si="1"/>
        <v>40621</v>
      </c>
    </row>
    <row r="114" spans="1:4">
      <c r="A114" s="7">
        <v>46135</v>
      </c>
      <c r="B114" s="8">
        <f>SUMIFS(Income!$G$2:$G$121,Income!$B$2:$B$121,'Cash Flow'!A114)</f>
        <v>0</v>
      </c>
      <c r="C114" s="8">
        <f>SUMIFS(Expenses!$H$2:$H$121,Expenses!$B$2:$B$121,'Cash Flow'!A114)</f>
        <v>2047</v>
      </c>
      <c r="D114" s="9">
        <f t="shared" si="1"/>
        <v>38574</v>
      </c>
    </row>
    <row r="115" spans="1:4">
      <c r="A115" s="7">
        <v>46136</v>
      </c>
      <c r="B115" s="8">
        <f>SUMIFS(Income!$G$2:$G$121,Income!$B$2:$B$121,'Cash Flow'!A115)</f>
        <v>0</v>
      </c>
      <c r="C115" s="8">
        <f>SUMIFS(Expenses!$H$2:$H$121,Expenses!$B$2:$B$121,'Cash Flow'!A115)</f>
        <v>0</v>
      </c>
      <c r="D115" s="9">
        <f t="shared" si="1"/>
        <v>38574</v>
      </c>
    </row>
    <row r="116" spans="1:4">
      <c r="A116" s="7">
        <v>46137</v>
      </c>
      <c r="B116" s="8">
        <f>SUMIFS(Income!$G$2:$G$121,Income!$B$2:$B$121,'Cash Flow'!A116)</f>
        <v>268</v>
      </c>
      <c r="C116" s="8">
        <f>SUMIFS(Expenses!$H$2:$H$121,Expenses!$B$2:$B$121,'Cash Flow'!A116)</f>
        <v>0</v>
      </c>
      <c r="D116" s="9">
        <f t="shared" si="1"/>
        <v>38842</v>
      </c>
    </row>
    <row r="117" spans="1:4">
      <c r="A117" s="7">
        <v>46138</v>
      </c>
      <c r="B117" s="8">
        <f>SUMIFS(Income!$G$2:$G$121,Income!$B$2:$B$121,'Cash Flow'!A117)</f>
        <v>0</v>
      </c>
      <c r="C117" s="8">
        <f>SUMIFS(Expenses!$H$2:$H$121,Expenses!$B$2:$B$121,'Cash Flow'!A117)</f>
        <v>910</v>
      </c>
      <c r="D117" s="9">
        <f t="shared" si="1"/>
        <v>37932</v>
      </c>
    </row>
    <row r="118" spans="1:4">
      <c r="A118" s="7">
        <v>46139</v>
      </c>
      <c r="B118" s="8">
        <f>SUMIFS(Income!$G$2:$G$121,Income!$B$2:$B$121,'Cash Flow'!A118)</f>
        <v>0</v>
      </c>
      <c r="C118" s="8">
        <f>SUMIFS(Expenses!$H$2:$H$121,Expenses!$B$2:$B$121,'Cash Flow'!A118)</f>
        <v>0</v>
      </c>
      <c r="D118" s="9">
        <f t="shared" si="1"/>
        <v>37932</v>
      </c>
    </row>
    <row r="119" spans="1:4">
      <c r="A119" s="7">
        <v>46140</v>
      </c>
      <c r="B119" s="8">
        <f>SUMIFS(Income!$G$2:$G$121,Income!$B$2:$B$121,'Cash Flow'!A119)</f>
        <v>215</v>
      </c>
      <c r="C119" s="8">
        <f>SUMIFS(Expenses!$H$2:$H$121,Expenses!$B$2:$B$121,'Cash Flow'!A119)</f>
        <v>0</v>
      </c>
      <c r="D119" s="9">
        <f t="shared" si="1"/>
        <v>38147</v>
      </c>
    </row>
    <row r="120" spans="1:4">
      <c r="A120" s="7">
        <v>46141</v>
      </c>
      <c r="B120" s="8">
        <f>SUMIFS(Income!$G$2:$G$121,Income!$B$2:$B$121,'Cash Flow'!A120)</f>
        <v>0</v>
      </c>
      <c r="C120" s="8">
        <f>SUMIFS(Expenses!$H$2:$H$121,Expenses!$B$2:$B$121,'Cash Flow'!A120)</f>
        <v>431</v>
      </c>
      <c r="D120" s="9">
        <f t="shared" si="1"/>
        <v>37716</v>
      </c>
    </row>
    <row r="121" spans="1:4">
      <c r="A121" s="7">
        <v>46142</v>
      </c>
      <c r="B121" s="8">
        <f>SUMIFS(Income!$G$2:$G$121,Income!$B$2:$B$121,'Cash Flow'!A121)</f>
        <v>0</v>
      </c>
      <c r="C121" s="8">
        <f>SUMIFS(Expenses!$H$2:$H$121,Expenses!$B$2:$B$121,'Cash Flow'!A121)</f>
        <v>0</v>
      </c>
      <c r="D121" s="9">
        <f t="shared" si="1"/>
        <v>37716</v>
      </c>
    </row>
    <row r="122" spans="1:4">
      <c r="A122" s="7">
        <v>46143</v>
      </c>
      <c r="B122" s="8">
        <f>SUMIFS(Income!$G$2:$G$121,Income!$B$2:$B$121,'Cash Flow'!A122)</f>
        <v>6164</v>
      </c>
      <c r="C122" s="8">
        <f>SUMIFS(Expenses!$H$2:$H$121,Expenses!$B$2:$B$121,'Cash Flow'!A122)</f>
        <v>0</v>
      </c>
      <c r="D122" s="9">
        <f t="shared" si="1"/>
        <v>43880</v>
      </c>
    </row>
    <row r="123" spans="1:4">
      <c r="A123" s="7">
        <v>46144</v>
      </c>
      <c r="B123" s="8">
        <f>SUMIFS(Income!$G$2:$G$121,Income!$B$2:$B$121,'Cash Flow'!A123)</f>
        <v>0</v>
      </c>
      <c r="C123" s="8">
        <f>SUMIFS(Expenses!$H$2:$H$121,Expenses!$B$2:$B$121,'Cash Flow'!A123)</f>
        <v>1795</v>
      </c>
      <c r="D123" s="9">
        <f t="shared" si="1"/>
        <v>42085</v>
      </c>
    </row>
    <row r="124" spans="1:4">
      <c r="A124" s="7">
        <v>46145</v>
      </c>
      <c r="B124" s="8">
        <f>SUMIFS(Income!$G$2:$G$121,Income!$B$2:$B$121,'Cash Flow'!A124)</f>
        <v>0</v>
      </c>
      <c r="C124" s="8">
        <f>SUMIFS(Expenses!$H$2:$H$121,Expenses!$B$2:$B$121,'Cash Flow'!A124)</f>
        <v>0</v>
      </c>
      <c r="D124" s="9">
        <f t="shared" si="1"/>
        <v>42085</v>
      </c>
    </row>
    <row r="125" spans="1:4">
      <c r="A125" s="7">
        <v>46146</v>
      </c>
      <c r="B125" s="8">
        <f>SUMIFS(Income!$G$2:$G$121,Income!$B$2:$B$121,'Cash Flow'!A125)</f>
        <v>591</v>
      </c>
      <c r="C125" s="8">
        <f>SUMIFS(Expenses!$H$2:$H$121,Expenses!$B$2:$B$121,'Cash Flow'!A125)</f>
        <v>0</v>
      </c>
      <c r="D125" s="9">
        <f t="shared" si="1"/>
        <v>42676</v>
      </c>
    </row>
    <row r="126" spans="1:4">
      <c r="A126" s="7">
        <v>46147</v>
      </c>
      <c r="B126" s="8">
        <f>SUMIFS(Income!$G$2:$G$121,Income!$B$2:$B$121,'Cash Flow'!A126)</f>
        <v>0</v>
      </c>
      <c r="C126" s="8">
        <f>SUMIFS(Expenses!$H$2:$H$121,Expenses!$B$2:$B$121,'Cash Flow'!A126)</f>
        <v>1214</v>
      </c>
      <c r="D126" s="9">
        <f t="shared" si="1"/>
        <v>41462</v>
      </c>
    </row>
    <row r="127" spans="1:4">
      <c r="A127" s="7">
        <v>46148</v>
      </c>
      <c r="B127" s="8">
        <f>SUMIFS(Income!$G$2:$G$121,Income!$B$2:$B$121,'Cash Flow'!A127)</f>
        <v>0</v>
      </c>
      <c r="C127" s="8">
        <f>SUMIFS(Expenses!$H$2:$H$121,Expenses!$B$2:$B$121,'Cash Flow'!A127)</f>
        <v>0</v>
      </c>
      <c r="D127" s="9">
        <f t="shared" si="1"/>
        <v>41462</v>
      </c>
    </row>
    <row r="128" spans="1:4">
      <c r="A128" s="7">
        <v>46149</v>
      </c>
      <c r="B128" s="8">
        <f>SUMIFS(Income!$G$2:$G$121,Income!$B$2:$B$121,'Cash Flow'!A128)</f>
        <v>83</v>
      </c>
      <c r="C128" s="8">
        <f>SUMIFS(Expenses!$H$2:$H$121,Expenses!$B$2:$B$121,'Cash Flow'!A128)</f>
        <v>0</v>
      </c>
      <c r="D128" s="9">
        <f t="shared" si="1"/>
        <v>41545</v>
      </c>
    </row>
    <row r="129" spans="1:4">
      <c r="A129" s="7">
        <v>46150</v>
      </c>
      <c r="B129" s="8">
        <f>SUMIFS(Income!$G$2:$G$121,Income!$B$2:$B$121,'Cash Flow'!A129)</f>
        <v>0</v>
      </c>
      <c r="C129" s="8">
        <f>SUMIFS(Expenses!$H$2:$H$121,Expenses!$B$2:$B$121,'Cash Flow'!A129)</f>
        <v>1187</v>
      </c>
      <c r="D129" s="9">
        <f t="shared" si="1"/>
        <v>40358</v>
      </c>
    </row>
    <row r="130" spans="1:4">
      <c r="A130" s="7">
        <v>46151</v>
      </c>
      <c r="B130" s="8">
        <f>SUMIFS(Income!$G$2:$G$121,Income!$B$2:$B$121,'Cash Flow'!A130)</f>
        <v>0</v>
      </c>
      <c r="C130" s="8">
        <f>SUMIFS(Expenses!$H$2:$H$121,Expenses!$B$2:$B$121,'Cash Flow'!A130)</f>
        <v>0</v>
      </c>
      <c r="D130" s="9">
        <f t="shared" si="1"/>
        <v>40358</v>
      </c>
    </row>
    <row r="131" spans="1:4">
      <c r="A131" s="7">
        <v>46152</v>
      </c>
      <c r="B131" s="8">
        <f>SUMIFS(Income!$G$2:$G$121,Income!$B$2:$B$121,'Cash Flow'!A131)</f>
        <v>610</v>
      </c>
      <c r="C131" s="8">
        <f>SUMIFS(Expenses!$H$2:$H$121,Expenses!$B$2:$B$121,'Cash Flow'!A131)</f>
        <v>0</v>
      </c>
      <c r="D131" s="9">
        <f t="shared" si="1"/>
        <v>40968</v>
      </c>
    </row>
    <row r="132" spans="1:4">
      <c r="A132" s="7">
        <v>46153</v>
      </c>
      <c r="B132" s="8">
        <f>SUMIFS(Income!$G$2:$G$121,Income!$B$2:$B$121,'Cash Flow'!A132)</f>
        <v>0</v>
      </c>
      <c r="C132" s="8">
        <f>SUMIFS(Expenses!$H$2:$H$121,Expenses!$B$2:$B$121,'Cash Flow'!A132)</f>
        <v>2855</v>
      </c>
      <c r="D132" s="9">
        <f t="shared" si="1"/>
        <v>38113</v>
      </c>
    </row>
    <row r="133" spans="1:4">
      <c r="A133" s="7">
        <v>46154</v>
      </c>
      <c r="B133" s="8">
        <f>SUMIFS(Income!$G$2:$G$121,Income!$B$2:$B$121,'Cash Flow'!A133)</f>
        <v>0</v>
      </c>
      <c r="C133" s="8">
        <f>SUMIFS(Expenses!$H$2:$H$121,Expenses!$B$2:$B$121,'Cash Flow'!A133)</f>
        <v>0</v>
      </c>
      <c r="D133" s="9">
        <f t="shared" ref="D133:D196" si="2">D132+B133-C133</f>
        <v>38113</v>
      </c>
    </row>
    <row r="134" spans="1:4">
      <c r="A134" s="7">
        <v>46155</v>
      </c>
      <c r="B134" s="8">
        <f>SUMIFS(Income!$G$2:$G$121,Income!$B$2:$B$121,'Cash Flow'!A134)</f>
        <v>682</v>
      </c>
      <c r="C134" s="8">
        <f>SUMIFS(Expenses!$H$2:$H$121,Expenses!$B$2:$B$121,'Cash Flow'!A134)</f>
        <v>0</v>
      </c>
      <c r="D134" s="9">
        <f t="shared" si="2"/>
        <v>38795</v>
      </c>
    </row>
    <row r="135" spans="1:4">
      <c r="A135" s="7">
        <v>46156</v>
      </c>
      <c r="B135" s="8">
        <f>SUMIFS(Income!$G$2:$G$121,Income!$B$2:$B$121,'Cash Flow'!A135)</f>
        <v>0</v>
      </c>
      <c r="C135" s="8">
        <f>SUMIFS(Expenses!$H$2:$H$121,Expenses!$B$2:$B$121,'Cash Flow'!A135)</f>
        <v>1437</v>
      </c>
      <c r="D135" s="9">
        <f t="shared" si="2"/>
        <v>37358</v>
      </c>
    </row>
    <row r="136" spans="1:4">
      <c r="A136" s="7">
        <v>46157</v>
      </c>
      <c r="B136" s="8">
        <f>SUMIFS(Income!$G$2:$G$121,Income!$B$2:$B$121,'Cash Flow'!A136)</f>
        <v>0</v>
      </c>
      <c r="C136" s="8">
        <f>SUMIFS(Expenses!$H$2:$H$121,Expenses!$B$2:$B$121,'Cash Flow'!A136)</f>
        <v>0</v>
      </c>
      <c r="D136" s="9">
        <f t="shared" si="2"/>
        <v>37358</v>
      </c>
    </row>
    <row r="137" spans="1:4">
      <c r="A137" s="7">
        <v>46158</v>
      </c>
      <c r="B137" s="8">
        <f>SUMIFS(Income!$G$2:$G$121,Income!$B$2:$B$121,'Cash Flow'!A137)</f>
        <v>213</v>
      </c>
      <c r="C137" s="8">
        <f>SUMIFS(Expenses!$H$2:$H$121,Expenses!$B$2:$B$121,'Cash Flow'!A137)</f>
        <v>0</v>
      </c>
      <c r="D137" s="9">
        <f t="shared" si="2"/>
        <v>37571</v>
      </c>
    </row>
    <row r="138" spans="1:4">
      <c r="A138" s="7">
        <v>46159</v>
      </c>
      <c r="B138" s="8">
        <f>SUMIFS(Income!$G$2:$G$121,Income!$B$2:$B$121,'Cash Flow'!A138)</f>
        <v>0</v>
      </c>
      <c r="C138" s="8">
        <f>SUMIFS(Expenses!$H$2:$H$121,Expenses!$B$2:$B$121,'Cash Flow'!A138)</f>
        <v>2403</v>
      </c>
      <c r="D138" s="9">
        <f t="shared" si="2"/>
        <v>35168</v>
      </c>
    </row>
    <row r="139" spans="1:4">
      <c r="A139" s="7">
        <v>46160</v>
      </c>
      <c r="B139" s="8">
        <f>SUMIFS(Income!$G$2:$G$121,Income!$B$2:$B$121,'Cash Flow'!A139)</f>
        <v>0</v>
      </c>
      <c r="C139" s="8">
        <f>SUMIFS(Expenses!$H$2:$H$121,Expenses!$B$2:$B$121,'Cash Flow'!A139)</f>
        <v>0</v>
      </c>
      <c r="D139" s="9">
        <f t="shared" si="2"/>
        <v>35168</v>
      </c>
    </row>
    <row r="140" spans="1:4">
      <c r="A140" s="7">
        <v>46161</v>
      </c>
      <c r="B140" s="8">
        <f>SUMIFS(Income!$G$2:$G$121,Income!$B$2:$B$121,'Cash Flow'!A140)</f>
        <v>110</v>
      </c>
      <c r="C140" s="8">
        <f>SUMIFS(Expenses!$H$2:$H$121,Expenses!$B$2:$B$121,'Cash Flow'!A140)</f>
        <v>0</v>
      </c>
      <c r="D140" s="9">
        <f t="shared" si="2"/>
        <v>35278</v>
      </c>
    </row>
    <row r="141" spans="1:4">
      <c r="A141" s="7">
        <v>46162</v>
      </c>
      <c r="B141" s="8">
        <f>SUMIFS(Income!$G$2:$G$121,Income!$B$2:$B$121,'Cash Flow'!A141)</f>
        <v>0</v>
      </c>
      <c r="C141" s="8">
        <f>SUMIFS(Expenses!$H$2:$H$121,Expenses!$B$2:$B$121,'Cash Flow'!A141)</f>
        <v>267</v>
      </c>
      <c r="D141" s="9">
        <f t="shared" si="2"/>
        <v>35011</v>
      </c>
    </row>
    <row r="142" spans="1:4">
      <c r="A142" s="7">
        <v>46163</v>
      </c>
      <c r="B142" s="8">
        <f>SUMIFS(Income!$G$2:$G$121,Income!$B$2:$B$121,'Cash Flow'!A142)</f>
        <v>0</v>
      </c>
      <c r="C142" s="8">
        <f>SUMIFS(Expenses!$H$2:$H$121,Expenses!$B$2:$B$121,'Cash Flow'!A142)</f>
        <v>0</v>
      </c>
      <c r="D142" s="9">
        <f t="shared" si="2"/>
        <v>35011</v>
      </c>
    </row>
    <row r="143" spans="1:4">
      <c r="A143" s="7">
        <v>46164</v>
      </c>
      <c r="B143" s="8">
        <f>SUMIFS(Income!$G$2:$G$121,Income!$B$2:$B$121,'Cash Flow'!A143)</f>
        <v>434</v>
      </c>
      <c r="C143" s="8">
        <f>SUMIFS(Expenses!$H$2:$H$121,Expenses!$B$2:$B$121,'Cash Flow'!A143)</f>
        <v>0</v>
      </c>
      <c r="D143" s="9">
        <f t="shared" si="2"/>
        <v>35445</v>
      </c>
    </row>
    <row r="144" spans="1:4">
      <c r="A144" s="7">
        <v>46165</v>
      </c>
      <c r="B144" s="8">
        <f>SUMIFS(Income!$G$2:$G$121,Income!$B$2:$B$121,'Cash Flow'!A144)</f>
        <v>0</v>
      </c>
      <c r="C144" s="8">
        <f>SUMIFS(Expenses!$H$2:$H$121,Expenses!$B$2:$B$121,'Cash Flow'!A144)</f>
        <v>872</v>
      </c>
      <c r="D144" s="9">
        <f t="shared" si="2"/>
        <v>34573</v>
      </c>
    </row>
    <row r="145" spans="1:4">
      <c r="A145" s="7">
        <v>46166</v>
      </c>
      <c r="B145" s="8">
        <f>SUMIFS(Income!$G$2:$G$121,Income!$B$2:$B$121,'Cash Flow'!A145)</f>
        <v>0</v>
      </c>
      <c r="C145" s="8">
        <f>SUMIFS(Expenses!$H$2:$H$121,Expenses!$B$2:$B$121,'Cash Flow'!A145)</f>
        <v>0</v>
      </c>
      <c r="D145" s="9">
        <f t="shared" si="2"/>
        <v>34573</v>
      </c>
    </row>
    <row r="146" spans="1:4">
      <c r="A146" s="7">
        <v>46167</v>
      </c>
      <c r="B146" s="8">
        <f>SUMIFS(Income!$G$2:$G$121,Income!$B$2:$B$121,'Cash Flow'!A146)</f>
        <v>529</v>
      </c>
      <c r="C146" s="8">
        <f>SUMIFS(Expenses!$H$2:$H$121,Expenses!$B$2:$B$121,'Cash Flow'!A146)</f>
        <v>0</v>
      </c>
      <c r="D146" s="9">
        <f t="shared" si="2"/>
        <v>35102</v>
      </c>
    </row>
    <row r="147" spans="1:4">
      <c r="A147" s="7">
        <v>46168</v>
      </c>
      <c r="B147" s="8">
        <f>SUMIFS(Income!$G$2:$G$121,Income!$B$2:$B$121,'Cash Flow'!A147)</f>
        <v>0</v>
      </c>
      <c r="C147" s="8">
        <f>SUMIFS(Expenses!$H$2:$H$121,Expenses!$B$2:$B$121,'Cash Flow'!A147)</f>
        <v>991</v>
      </c>
      <c r="D147" s="9">
        <f t="shared" si="2"/>
        <v>34111</v>
      </c>
    </row>
    <row r="148" spans="1:4">
      <c r="A148" s="7">
        <v>46169</v>
      </c>
      <c r="B148" s="8">
        <f>SUMIFS(Income!$G$2:$G$121,Income!$B$2:$B$121,'Cash Flow'!A148)</f>
        <v>0</v>
      </c>
      <c r="C148" s="8">
        <f>SUMIFS(Expenses!$H$2:$H$121,Expenses!$B$2:$B$121,'Cash Flow'!A148)</f>
        <v>0</v>
      </c>
      <c r="D148" s="9">
        <f t="shared" si="2"/>
        <v>34111</v>
      </c>
    </row>
    <row r="149" spans="1:4">
      <c r="A149" s="7">
        <v>46170</v>
      </c>
      <c r="B149" s="8">
        <f>SUMIFS(Income!$G$2:$G$121,Income!$B$2:$B$121,'Cash Flow'!A149)</f>
        <v>715</v>
      </c>
      <c r="C149" s="8">
        <f>SUMIFS(Expenses!$H$2:$H$121,Expenses!$B$2:$B$121,'Cash Flow'!A149)</f>
        <v>0</v>
      </c>
      <c r="D149" s="9">
        <f t="shared" si="2"/>
        <v>34826</v>
      </c>
    </row>
    <row r="150" spans="1:4">
      <c r="A150" s="7">
        <v>46171</v>
      </c>
      <c r="B150" s="8">
        <f>SUMIFS(Income!$G$2:$G$121,Income!$B$2:$B$121,'Cash Flow'!A150)</f>
        <v>0</v>
      </c>
      <c r="C150" s="8">
        <f>SUMIFS(Expenses!$H$2:$H$121,Expenses!$B$2:$B$121,'Cash Flow'!A150)</f>
        <v>1125</v>
      </c>
      <c r="D150" s="9">
        <f t="shared" si="2"/>
        <v>33701</v>
      </c>
    </row>
    <row r="151" spans="1:4">
      <c r="A151" s="7">
        <v>46172</v>
      </c>
      <c r="B151" s="8">
        <f>SUMIFS(Income!$G$2:$G$121,Income!$B$2:$B$121,'Cash Flow'!A151)</f>
        <v>0</v>
      </c>
      <c r="C151" s="8">
        <f>SUMIFS(Expenses!$H$2:$H$121,Expenses!$B$2:$B$121,'Cash Flow'!A151)</f>
        <v>0</v>
      </c>
      <c r="D151" s="9">
        <f t="shared" si="2"/>
        <v>33701</v>
      </c>
    </row>
    <row r="152" spans="1:4">
      <c r="A152" s="7">
        <v>46173</v>
      </c>
      <c r="B152" s="8">
        <f>SUMIFS(Income!$G$2:$G$121,Income!$B$2:$B$121,'Cash Flow'!A152)</f>
        <v>865</v>
      </c>
      <c r="C152" s="8">
        <f>SUMIFS(Expenses!$H$2:$H$121,Expenses!$B$2:$B$121,'Cash Flow'!A152)</f>
        <v>0</v>
      </c>
      <c r="D152" s="9">
        <f t="shared" si="2"/>
        <v>34566</v>
      </c>
    </row>
    <row r="153" spans="1:4">
      <c r="A153" s="7">
        <v>46174</v>
      </c>
      <c r="B153" s="8">
        <f>SUMIFS(Income!$G$2:$G$121,Income!$B$2:$B$121,'Cash Flow'!A153)</f>
        <v>0</v>
      </c>
      <c r="C153" s="8">
        <f>SUMIFS(Expenses!$H$2:$H$121,Expenses!$B$2:$B$121,'Cash Flow'!A153)</f>
        <v>485</v>
      </c>
      <c r="D153" s="9">
        <f t="shared" si="2"/>
        <v>34081</v>
      </c>
    </row>
    <row r="154" spans="1:4">
      <c r="A154" s="7">
        <v>46175</v>
      </c>
      <c r="B154" s="8">
        <f>SUMIFS(Income!$G$2:$G$121,Income!$B$2:$B$121,'Cash Flow'!A154)</f>
        <v>0</v>
      </c>
      <c r="C154" s="8">
        <f>SUMIFS(Expenses!$H$2:$H$121,Expenses!$B$2:$B$121,'Cash Flow'!A154)</f>
        <v>0</v>
      </c>
      <c r="D154" s="9">
        <f t="shared" si="2"/>
        <v>34081</v>
      </c>
    </row>
    <row r="155" spans="1:4">
      <c r="A155" s="7">
        <v>46176</v>
      </c>
      <c r="B155" s="8">
        <f>SUMIFS(Income!$G$2:$G$121,Income!$B$2:$B$121,'Cash Flow'!A155)</f>
        <v>260</v>
      </c>
      <c r="C155" s="8">
        <f>SUMIFS(Expenses!$H$2:$H$121,Expenses!$B$2:$B$121,'Cash Flow'!A155)</f>
        <v>0</v>
      </c>
      <c r="D155" s="9">
        <f t="shared" si="2"/>
        <v>34341</v>
      </c>
    </row>
    <row r="156" spans="1:4">
      <c r="A156" s="7">
        <v>46177</v>
      </c>
      <c r="B156" s="8">
        <f>SUMIFS(Income!$G$2:$G$121,Income!$B$2:$B$121,'Cash Flow'!A156)</f>
        <v>0</v>
      </c>
      <c r="C156" s="8">
        <f>SUMIFS(Expenses!$H$2:$H$121,Expenses!$B$2:$B$121,'Cash Flow'!A156)</f>
        <v>306</v>
      </c>
      <c r="D156" s="9">
        <f t="shared" si="2"/>
        <v>34035</v>
      </c>
    </row>
    <row r="157" spans="1:4">
      <c r="A157" s="7">
        <v>46178</v>
      </c>
      <c r="B157" s="8">
        <f>SUMIFS(Income!$G$2:$G$121,Income!$B$2:$B$121,'Cash Flow'!A157)</f>
        <v>0</v>
      </c>
      <c r="C157" s="8">
        <f>SUMIFS(Expenses!$H$2:$H$121,Expenses!$B$2:$B$121,'Cash Flow'!A157)</f>
        <v>0</v>
      </c>
      <c r="D157" s="9">
        <f t="shared" si="2"/>
        <v>34035</v>
      </c>
    </row>
    <row r="158" spans="1:4">
      <c r="A158" s="7">
        <v>46179</v>
      </c>
      <c r="B158" s="8">
        <f>SUMIFS(Income!$G$2:$G$121,Income!$B$2:$B$121,'Cash Flow'!A158)</f>
        <v>635</v>
      </c>
      <c r="C158" s="8">
        <f>SUMIFS(Expenses!$H$2:$H$121,Expenses!$B$2:$B$121,'Cash Flow'!A158)</f>
        <v>0</v>
      </c>
      <c r="D158" s="9">
        <f t="shared" si="2"/>
        <v>34670</v>
      </c>
    </row>
    <row r="159" spans="1:4">
      <c r="A159" s="7">
        <v>46180</v>
      </c>
      <c r="B159" s="8">
        <f>SUMIFS(Income!$G$2:$G$121,Income!$B$2:$B$121,'Cash Flow'!A159)</f>
        <v>0</v>
      </c>
      <c r="C159" s="8">
        <f>SUMIFS(Expenses!$H$2:$H$121,Expenses!$B$2:$B$121,'Cash Flow'!A159)</f>
        <v>275</v>
      </c>
      <c r="D159" s="9">
        <f t="shared" si="2"/>
        <v>34395</v>
      </c>
    </row>
    <row r="160" spans="1:4">
      <c r="A160" s="7">
        <v>46181</v>
      </c>
      <c r="B160" s="8">
        <f>SUMIFS(Income!$G$2:$G$121,Income!$B$2:$B$121,'Cash Flow'!A160)</f>
        <v>0</v>
      </c>
      <c r="C160" s="8">
        <f>SUMIFS(Expenses!$H$2:$H$121,Expenses!$B$2:$B$121,'Cash Flow'!A160)</f>
        <v>0</v>
      </c>
      <c r="D160" s="9">
        <f t="shared" si="2"/>
        <v>34395</v>
      </c>
    </row>
    <row r="161" spans="1:4">
      <c r="A161" s="7">
        <v>46182</v>
      </c>
      <c r="B161" s="8">
        <f>SUMIFS(Income!$G$2:$G$121,Income!$B$2:$B$121,'Cash Flow'!A161)</f>
        <v>780</v>
      </c>
      <c r="C161" s="8">
        <f>SUMIFS(Expenses!$H$2:$H$121,Expenses!$B$2:$B$121,'Cash Flow'!A161)</f>
        <v>0</v>
      </c>
      <c r="D161" s="9">
        <f t="shared" si="2"/>
        <v>35175</v>
      </c>
    </row>
    <row r="162" spans="1:4">
      <c r="A162" s="7">
        <v>46183</v>
      </c>
      <c r="B162" s="8">
        <f>SUMIFS(Income!$G$2:$G$121,Income!$B$2:$B$121,'Cash Flow'!A162)</f>
        <v>0</v>
      </c>
      <c r="C162" s="8">
        <f>SUMIFS(Expenses!$H$2:$H$121,Expenses!$B$2:$B$121,'Cash Flow'!A162)</f>
        <v>400</v>
      </c>
      <c r="D162" s="9">
        <f t="shared" si="2"/>
        <v>34775</v>
      </c>
    </row>
    <row r="163" spans="1:4">
      <c r="A163" s="7">
        <v>46184</v>
      </c>
      <c r="B163" s="8">
        <f>SUMIFS(Income!$G$2:$G$121,Income!$B$2:$B$121,'Cash Flow'!A163)</f>
        <v>0</v>
      </c>
      <c r="C163" s="8">
        <f>SUMIFS(Expenses!$H$2:$H$121,Expenses!$B$2:$B$121,'Cash Flow'!A163)</f>
        <v>0</v>
      </c>
      <c r="D163" s="9">
        <f t="shared" si="2"/>
        <v>34775</v>
      </c>
    </row>
    <row r="164" spans="1:4">
      <c r="A164" s="7">
        <v>46185</v>
      </c>
      <c r="B164" s="8">
        <f>SUMIFS(Income!$G$2:$G$121,Income!$B$2:$B$121,'Cash Flow'!A164)</f>
        <v>462</v>
      </c>
      <c r="C164" s="8">
        <f>SUMIFS(Expenses!$H$2:$H$121,Expenses!$B$2:$B$121,'Cash Flow'!A164)</f>
        <v>0</v>
      </c>
      <c r="D164" s="9">
        <f t="shared" si="2"/>
        <v>35237</v>
      </c>
    </row>
    <row r="165" spans="1:4">
      <c r="A165" s="7">
        <v>46186</v>
      </c>
      <c r="B165" s="8">
        <f>SUMIFS(Income!$G$2:$G$121,Income!$B$2:$B$121,'Cash Flow'!A165)</f>
        <v>0</v>
      </c>
      <c r="C165" s="8">
        <f>SUMIFS(Expenses!$H$2:$H$121,Expenses!$B$2:$B$121,'Cash Flow'!A165)</f>
        <v>718</v>
      </c>
      <c r="D165" s="9">
        <f t="shared" si="2"/>
        <v>34519</v>
      </c>
    </row>
    <row r="166" spans="1:4">
      <c r="A166" s="7">
        <v>46187</v>
      </c>
      <c r="B166" s="8">
        <f>SUMIFS(Income!$G$2:$G$121,Income!$B$2:$B$121,'Cash Flow'!A166)</f>
        <v>0</v>
      </c>
      <c r="C166" s="8">
        <f>SUMIFS(Expenses!$H$2:$H$121,Expenses!$B$2:$B$121,'Cash Flow'!A166)</f>
        <v>0</v>
      </c>
      <c r="D166" s="9">
        <f t="shared" si="2"/>
        <v>34519</v>
      </c>
    </row>
    <row r="167" spans="1:4">
      <c r="A167" s="7">
        <v>46188</v>
      </c>
      <c r="B167" s="8">
        <f>SUMIFS(Income!$G$2:$G$121,Income!$B$2:$B$121,'Cash Flow'!A167)</f>
        <v>139</v>
      </c>
      <c r="C167" s="8">
        <f>SUMIFS(Expenses!$H$2:$H$121,Expenses!$B$2:$B$121,'Cash Flow'!A167)</f>
        <v>0</v>
      </c>
      <c r="D167" s="9">
        <f t="shared" si="2"/>
        <v>34658</v>
      </c>
    </row>
    <row r="168" spans="1:4">
      <c r="A168" s="7">
        <v>46189</v>
      </c>
      <c r="B168" s="8">
        <f>SUMIFS(Income!$G$2:$G$121,Income!$B$2:$B$121,'Cash Flow'!A168)</f>
        <v>0</v>
      </c>
      <c r="C168" s="8">
        <f>SUMIFS(Expenses!$H$2:$H$121,Expenses!$B$2:$B$121,'Cash Flow'!A168)</f>
        <v>54</v>
      </c>
      <c r="D168" s="9">
        <f t="shared" si="2"/>
        <v>34604</v>
      </c>
    </row>
    <row r="169" spans="1:4">
      <c r="A169" s="7">
        <v>46190</v>
      </c>
      <c r="B169" s="8">
        <f>SUMIFS(Income!$G$2:$G$121,Income!$B$2:$B$121,'Cash Flow'!A169)</f>
        <v>0</v>
      </c>
      <c r="C169" s="8">
        <f>SUMIFS(Expenses!$H$2:$H$121,Expenses!$B$2:$B$121,'Cash Flow'!A169)</f>
        <v>0</v>
      </c>
      <c r="D169" s="9">
        <f t="shared" si="2"/>
        <v>34604</v>
      </c>
    </row>
    <row r="170" spans="1:4">
      <c r="A170" s="7">
        <v>46191</v>
      </c>
      <c r="B170" s="8">
        <f>SUMIFS(Income!$G$2:$G$121,Income!$B$2:$B$121,'Cash Flow'!A170)</f>
        <v>427</v>
      </c>
      <c r="C170" s="8">
        <f>SUMIFS(Expenses!$H$2:$H$121,Expenses!$B$2:$B$121,'Cash Flow'!A170)</f>
        <v>0</v>
      </c>
      <c r="D170" s="9">
        <f t="shared" si="2"/>
        <v>35031</v>
      </c>
    </row>
    <row r="171" spans="1:4">
      <c r="A171" s="7">
        <v>46192</v>
      </c>
      <c r="B171" s="8">
        <f>SUMIFS(Income!$G$2:$G$121,Income!$B$2:$B$121,'Cash Flow'!A171)</f>
        <v>0</v>
      </c>
      <c r="C171" s="8">
        <f>SUMIFS(Expenses!$H$2:$H$121,Expenses!$B$2:$B$121,'Cash Flow'!A171)</f>
        <v>573</v>
      </c>
      <c r="D171" s="9">
        <f t="shared" si="2"/>
        <v>34458</v>
      </c>
    </row>
    <row r="172" spans="1:4">
      <c r="A172" s="7">
        <v>46193</v>
      </c>
      <c r="B172" s="8">
        <f>SUMIFS(Income!$G$2:$G$121,Income!$B$2:$B$121,'Cash Flow'!A172)</f>
        <v>0</v>
      </c>
      <c r="C172" s="8">
        <f>SUMIFS(Expenses!$H$2:$H$121,Expenses!$B$2:$B$121,'Cash Flow'!A172)</f>
        <v>0</v>
      </c>
      <c r="D172" s="9">
        <f t="shared" si="2"/>
        <v>34458</v>
      </c>
    </row>
    <row r="173" spans="1:4">
      <c r="A173" s="7">
        <v>46194</v>
      </c>
      <c r="B173" s="8">
        <f>SUMIFS(Income!$G$2:$G$121,Income!$B$2:$B$121,'Cash Flow'!A173)</f>
        <v>2610</v>
      </c>
      <c r="C173" s="8">
        <f>SUMIFS(Expenses!$H$2:$H$121,Expenses!$B$2:$B$121,'Cash Flow'!A173)</f>
        <v>0</v>
      </c>
      <c r="D173" s="9">
        <f t="shared" si="2"/>
        <v>37068</v>
      </c>
    </row>
    <row r="174" spans="1:4">
      <c r="A174" s="7">
        <v>46195</v>
      </c>
      <c r="B174" s="8">
        <f>SUMIFS(Income!$G$2:$G$121,Income!$B$2:$B$121,'Cash Flow'!A174)</f>
        <v>0</v>
      </c>
      <c r="C174" s="8">
        <f>SUMIFS(Expenses!$H$2:$H$121,Expenses!$B$2:$B$121,'Cash Flow'!A174)</f>
        <v>254</v>
      </c>
      <c r="D174" s="9">
        <f t="shared" si="2"/>
        <v>36814</v>
      </c>
    </row>
    <row r="175" spans="1:4">
      <c r="A175" s="7">
        <v>46196</v>
      </c>
      <c r="B175" s="8">
        <f>SUMIFS(Income!$G$2:$G$121,Income!$B$2:$B$121,'Cash Flow'!A175)</f>
        <v>0</v>
      </c>
      <c r="C175" s="8">
        <f>SUMIFS(Expenses!$H$2:$H$121,Expenses!$B$2:$B$121,'Cash Flow'!A175)</f>
        <v>0</v>
      </c>
      <c r="D175" s="9">
        <f t="shared" si="2"/>
        <v>36814</v>
      </c>
    </row>
    <row r="176" spans="1:4">
      <c r="A176" s="7">
        <v>46197</v>
      </c>
      <c r="B176" s="8">
        <f>SUMIFS(Income!$G$2:$G$121,Income!$B$2:$B$121,'Cash Flow'!A176)</f>
        <v>196</v>
      </c>
      <c r="C176" s="8">
        <f>SUMIFS(Expenses!$H$2:$H$121,Expenses!$B$2:$B$121,'Cash Flow'!A176)</f>
        <v>0</v>
      </c>
      <c r="D176" s="9">
        <f t="shared" si="2"/>
        <v>37010</v>
      </c>
    </row>
    <row r="177" spans="1:4">
      <c r="A177" s="7">
        <v>46198</v>
      </c>
      <c r="B177" s="8">
        <f>SUMIFS(Income!$G$2:$G$121,Income!$B$2:$B$121,'Cash Flow'!A177)</f>
        <v>0</v>
      </c>
      <c r="C177" s="8">
        <f>SUMIFS(Expenses!$H$2:$H$121,Expenses!$B$2:$B$121,'Cash Flow'!A177)</f>
        <v>2673</v>
      </c>
      <c r="D177" s="9">
        <f t="shared" si="2"/>
        <v>34337</v>
      </c>
    </row>
    <row r="178" spans="1:4">
      <c r="A178" s="7">
        <v>46199</v>
      </c>
      <c r="B178" s="8">
        <f>SUMIFS(Income!$G$2:$G$121,Income!$B$2:$B$121,'Cash Flow'!A178)</f>
        <v>0</v>
      </c>
      <c r="C178" s="8">
        <f>SUMIFS(Expenses!$H$2:$H$121,Expenses!$B$2:$B$121,'Cash Flow'!A178)</f>
        <v>0</v>
      </c>
      <c r="D178" s="9">
        <f t="shared" si="2"/>
        <v>34337</v>
      </c>
    </row>
    <row r="179" spans="1:4">
      <c r="A179" s="7">
        <v>46200</v>
      </c>
      <c r="B179" s="8">
        <f>SUMIFS(Income!$G$2:$G$121,Income!$B$2:$B$121,'Cash Flow'!A179)</f>
        <v>100</v>
      </c>
      <c r="C179" s="8">
        <f>SUMIFS(Expenses!$H$2:$H$121,Expenses!$B$2:$B$121,'Cash Flow'!A179)</f>
        <v>0</v>
      </c>
      <c r="D179" s="9">
        <f t="shared" si="2"/>
        <v>34437</v>
      </c>
    </row>
    <row r="180" spans="1:4">
      <c r="A180" s="7">
        <v>46201</v>
      </c>
      <c r="B180" s="8">
        <f>SUMIFS(Income!$G$2:$G$121,Income!$B$2:$B$121,'Cash Flow'!A180)</f>
        <v>0</v>
      </c>
      <c r="C180" s="8">
        <f>SUMIFS(Expenses!$H$2:$H$121,Expenses!$B$2:$B$121,'Cash Flow'!A180)</f>
        <v>493</v>
      </c>
      <c r="D180" s="9">
        <f t="shared" si="2"/>
        <v>33944</v>
      </c>
    </row>
    <row r="181" spans="1:4">
      <c r="A181" s="7">
        <v>46202</v>
      </c>
      <c r="B181" s="8">
        <f>SUMIFS(Income!$G$2:$G$121,Income!$B$2:$B$121,'Cash Flow'!A181)</f>
        <v>0</v>
      </c>
      <c r="C181" s="8">
        <f>SUMIFS(Expenses!$H$2:$H$121,Expenses!$B$2:$B$121,'Cash Flow'!A181)</f>
        <v>0</v>
      </c>
      <c r="D181" s="9">
        <f t="shared" si="2"/>
        <v>33944</v>
      </c>
    </row>
    <row r="182" spans="1:4">
      <c r="A182" s="7">
        <v>46203</v>
      </c>
      <c r="B182" s="8">
        <f>SUMIFS(Income!$G$2:$G$121,Income!$B$2:$B$121,'Cash Flow'!A182)</f>
        <v>3268</v>
      </c>
      <c r="C182" s="8">
        <f>SUMIFS(Expenses!$H$2:$H$121,Expenses!$B$2:$B$121,'Cash Flow'!A182)</f>
        <v>0</v>
      </c>
      <c r="D182" s="9">
        <f t="shared" si="2"/>
        <v>37212</v>
      </c>
    </row>
    <row r="183" spans="1:4">
      <c r="A183" s="7">
        <v>46204</v>
      </c>
      <c r="B183" s="8">
        <f>SUMIFS(Income!$G$2:$G$121,Income!$B$2:$B$121,'Cash Flow'!A183)</f>
        <v>0</v>
      </c>
      <c r="C183" s="8">
        <f>SUMIFS(Expenses!$H$2:$H$121,Expenses!$B$2:$B$121,'Cash Flow'!A183)</f>
        <v>4809</v>
      </c>
      <c r="D183" s="9">
        <f t="shared" si="2"/>
        <v>32403</v>
      </c>
    </row>
    <row r="184" spans="1:4">
      <c r="A184" s="7">
        <v>46205</v>
      </c>
      <c r="B184" s="8">
        <f>SUMIFS(Income!$G$2:$G$121,Income!$B$2:$B$121,'Cash Flow'!A184)</f>
        <v>0</v>
      </c>
      <c r="C184" s="8">
        <f>SUMIFS(Expenses!$H$2:$H$121,Expenses!$B$2:$B$121,'Cash Flow'!A184)</f>
        <v>0</v>
      </c>
      <c r="D184" s="9">
        <f t="shared" si="2"/>
        <v>32403</v>
      </c>
    </row>
    <row r="185" spans="1:4">
      <c r="A185" s="7">
        <v>46206</v>
      </c>
      <c r="B185" s="8">
        <f>SUMIFS(Income!$G$2:$G$121,Income!$B$2:$B$121,'Cash Flow'!A185)</f>
        <v>1738</v>
      </c>
      <c r="C185" s="8">
        <f>SUMIFS(Expenses!$H$2:$H$121,Expenses!$B$2:$B$121,'Cash Flow'!A185)</f>
        <v>0</v>
      </c>
      <c r="D185" s="9">
        <f t="shared" si="2"/>
        <v>34141</v>
      </c>
    </row>
    <row r="186" spans="1:4">
      <c r="A186" s="7">
        <v>46207</v>
      </c>
      <c r="B186" s="8">
        <f>SUMIFS(Income!$G$2:$G$121,Income!$B$2:$B$121,'Cash Flow'!A186)</f>
        <v>0</v>
      </c>
      <c r="C186" s="8">
        <f>SUMIFS(Expenses!$H$2:$H$121,Expenses!$B$2:$B$121,'Cash Flow'!A186)</f>
        <v>304</v>
      </c>
      <c r="D186" s="9">
        <f t="shared" si="2"/>
        <v>33837</v>
      </c>
    </row>
    <row r="187" spans="1:4">
      <c r="A187" s="7">
        <v>46208</v>
      </c>
      <c r="B187" s="8">
        <f>SUMIFS(Income!$G$2:$G$121,Income!$B$2:$B$121,'Cash Flow'!A187)</f>
        <v>0</v>
      </c>
      <c r="C187" s="8">
        <f>SUMIFS(Expenses!$H$2:$H$121,Expenses!$B$2:$B$121,'Cash Flow'!A187)</f>
        <v>0</v>
      </c>
      <c r="D187" s="9">
        <f t="shared" si="2"/>
        <v>33837</v>
      </c>
    </row>
    <row r="188" spans="1:4">
      <c r="A188" s="7">
        <v>46209</v>
      </c>
      <c r="B188" s="8">
        <f>SUMIFS(Income!$G$2:$G$121,Income!$B$2:$B$121,'Cash Flow'!A188)</f>
        <v>3533</v>
      </c>
      <c r="C188" s="8">
        <f>SUMIFS(Expenses!$H$2:$H$121,Expenses!$B$2:$B$121,'Cash Flow'!A188)</f>
        <v>0</v>
      </c>
      <c r="D188" s="9">
        <f t="shared" si="2"/>
        <v>37370</v>
      </c>
    </row>
    <row r="189" spans="1:4">
      <c r="A189" s="7">
        <v>46210</v>
      </c>
      <c r="B189" s="8">
        <f>SUMIFS(Income!$G$2:$G$121,Income!$B$2:$B$121,'Cash Flow'!A189)</f>
        <v>0</v>
      </c>
      <c r="C189" s="8">
        <f>SUMIFS(Expenses!$H$2:$H$121,Expenses!$B$2:$B$121,'Cash Flow'!A189)</f>
        <v>4428</v>
      </c>
      <c r="D189" s="9">
        <f t="shared" si="2"/>
        <v>32942</v>
      </c>
    </row>
    <row r="190" spans="1:4">
      <c r="A190" s="7">
        <v>46211</v>
      </c>
      <c r="B190" s="8">
        <f>SUMIFS(Income!$G$2:$G$121,Income!$B$2:$B$121,'Cash Flow'!A190)</f>
        <v>0</v>
      </c>
      <c r="C190" s="8">
        <f>SUMIFS(Expenses!$H$2:$H$121,Expenses!$B$2:$B$121,'Cash Flow'!A190)</f>
        <v>0</v>
      </c>
      <c r="D190" s="9">
        <f t="shared" si="2"/>
        <v>32942</v>
      </c>
    </row>
    <row r="191" spans="1:4">
      <c r="A191" s="7">
        <v>46212</v>
      </c>
      <c r="B191" s="8">
        <f>SUMIFS(Income!$G$2:$G$121,Income!$B$2:$B$121,'Cash Flow'!A191)</f>
        <v>185</v>
      </c>
      <c r="C191" s="8">
        <f>SUMIFS(Expenses!$H$2:$H$121,Expenses!$B$2:$B$121,'Cash Flow'!A191)</f>
        <v>0</v>
      </c>
      <c r="D191" s="9">
        <f t="shared" si="2"/>
        <v>33127</v>
      </c>
    </row>
    <row r="192" spans="1:4">
      <c r="A192" s="7">
        <v>46213</v>
      </c>
      <c r="B192" s="8">
        <f>SUMIFS(Income!$G$2:$G$121,Income!$B$2:$B$121,'Cash Flow'!A192)</f>
        <v>0</v>
      </c>
      <c r="C192" s="8">
        <f>SUMIFS(Expenses!$H$2:$H$121,Expenses!$B$2:$B$121,'Cash Flow'!A192)</f>
        <v>341</v>
      </c>
      <c r="D192" s="9">
        <f t="shared" si="2"/>
        <v>32786</v>
      </c>
    </row>
    <row r="193" spans="1:4">
      <c r="A193" s="7">
        <v>46214</v>
      </c>
      <c r="B193" s="8">
        <f>SUMIFS(Income!$G$2:$G$121,Income!$B$2:$B$121,'Cash Flow'!A193)</f>
        <v>0</v>
      </c>
      <c r="C193" s="8">
        <f>SUMIFS(Expenses!$H$2:$H$121,Expenses!$B$2:$B$121,'Cash Flow'!A193)</f>
        <v>0</v>
      </c>
      <c r="D193" s="9">
        <f t="shared" si="2"/>
        <v>32786</v>
      </c>
    </row>
    <row r="194" spans="1:4">
      <c r="A194" s="7">
        <v>46215</v>
      </c>
      <c r="B194" s="8">
        <f>SUMIFS(Income!$G$2:$G$121,Income!$B$2:$B$121,'Cash Flow'!A194)</f>
        <v>306</v>
      </c>
      <c r="C194" s="8">
        <f>SUMIFS(Expenses!$H$2:$H$121,Expenses!$B$2:$B$121,'Cash Flow'!A194)</f>
        <v>0</v>
      </c>
      <c r="D194" s="9">
        <f t="shared" si="2"/>
        <v>33092</v>
      </c>
    </row>
    <row r="195" spans="1:4">
      <c r="A195" s="7">
        <v>46216</v>
      </c>
      <c r="B195" s="8">
        <f>SUMIFS(Income!$G$2:$G$121,Income!$B$2:$B$121,'Cash Flow'!A195)</f>
        <v>0</v>
      </c>
      <c r="C195" s="8">
        <f>SUMIFS(Expenses!$H$2:$H$121,Expenses!$B$2:$B$121,'Cash Flow'!A195)</f>
        <v>1365</v>
      </c>
      <c r="D195" s="9">
        <f t="shared" si="2"/>
        <v>31727</v>
      </c>
    </row>
    <row r="196" spans="1:4">
      <c r="A196" s="7">
        <v>46217</v>
      </c>
      <c r="B196" s="8">
        <f>SUMIFS(Income!$G$2:$G$121,Income!$B$2:$B$121,'Cash Flow'!A196)</f>
        <v>0</v>
      </c>
      <c r="C196" s="8">
        <f>SUMIFS(Expenses!$H$2:$H$121,Expenses!$B$2:$B$121,'Cash Flow'!A196)</f>
        <v>0</v>
      </c>
      <c r="D196" s="9">
        <f t="shared" si="2"/>
        <v>31727</v>
      </c>
    </row>
    <row r="197" spans="1:4">
      <c r="A197" s="7">
        <v>46218</v>
      </c>
      <c r="B197" s="8">
        <f>SUMIFS(Income!$G$2:$G$121,Income!$B$2:$B$121,'Cash Flow'!A197)</f>
        <v>151</v>
      </c>
      <c r="C197" s="8">
        <f>SUMIFS(Expenses!$H$2:$H$121,Expenses!$B$2:$B$121,'Cash Flow'!A197)</f>
        <v>0</v>
      </c>
      <c r="D197" s="9">
        <f t="shared" ref="D197:D260" si="3">D196+B197-C197</f>
        <v>31878</v>
      </c>
    </row>
    <row r="198" spans="1:4">
      <c r="A198" s="7">
        <v>46219</v>
      </c>
      <c r="B198" s="8">
        <f>SUMIFS(Income!$G$2:$G$121,Income!$B$2:$B$121,'Cash Flow'!A198)</f>
        <v>0</v>
      </c>
      <c r="C198" s="8">
        <f>SUMIFS(Expenses!$H$2:$H$121,Expenses!$B$2:$B$121,'Cash Flow'!A198)</f>
        <v>323</v>
      </c>
      <c r="D198" s="9">
        <f t="shared" si="3"/>
        <v>31555</v>
      </c>
    </row>
    <row r="199" spans="1:4">
      <c r="A199" s="7">
        <v>46220</v>
      </c>
      <c r="B199" s="8">
        <f>SUMIFS(Income!$G$2:$G$121,Income!$B$2:$B$121,'Cash Flow'!A199)</f>
        <v>0</v>
      </c>
      <c r="C199" s="8">
        <f>SUMIFS(Expenses!$H$2:$H$121,Expenses!$B$2:$B$121,'Cash Flow'!A199)</f>
        <v>0</v>
      </c>
      <c r="D199" s="9">
        <f t="shared" si="3"/>
        <v>31555</v>
      </c>
    </row>
    <row r="200" spans="1:4">
      <c r="A200" s="7">
        <v>46221</v>
      </c>
      <c r="B200" s="8">
        <f>SUMIFS(Income!$G$2:$G$121,Income!$B$2:$B$121,'Cash Flow'!A200)</f>
        <v>95</v>
      </c>
      <c r="C200" s="8">
        <f>SUMIFS(Expenses!$H$2:$H$121,Expenses!$B$2:$B$121,'Cash Flow'!A200)</f>
        <v>0</v>
      </c>
      <c r="D200" s="9">
        <f t="shared" si="3"/>
        <v>31650</v>
      </c>
    </row>
    <row r="201" spans="1:4">
      <c r="A201" s="7">
        <v>46222</v>
      </c>
      <c r="B201" s="8">
        <f>SUMIFS(Income!$G$2:$G$121,Income!$B$2:$B$121,'Cash Flow'!A201)</f>
        <v>0</v>
      </c>
      <c r="C201" s="8">
        <f>SUMIFS(Expenses!$H$2:$H$121,Expenses!$B$2:$B$121,'Cash Flow'!A201)</f>
        <v>171</v>
      </c>
      <c r="D201" s="9">
        <f t="shared" si="3"/>
        <v>31479</v>
      </c>
    </row>
    <row r="202" spans="1:4">
      <c r="A202" s="7">
        <v>46223</v>
      </c>
      <c r="B202" s="8">
        <f>SUMIFS(Income!$G$2:$G$121,Income!$B$2:$B$121,'Cash Flow'!A202)</f>
        <v>0</v>
      </c>
      <c r="C202" s="8">
        <f>SUMIFS(Expenses!$H$2:$H$121,Expenses!$B$2:$B$121,'Cash Flow'!A202)</f>
        <v>0</v>
      </c>
      <c r="D202" s="9">
        <f t="shared" si="3"/>
        <v>31479</v>
      </c>
    </row>
    <row r="203" spans="1:4">
      <c r="A203" s="7">
        <v>46224</v>
      </c>
      <c r="B203" s="8">
        <f>SUMIFS(Income!$G$2:$G$121,Income!$B$2:$B$121,'Cash Flow'!A203)</f>
        <v>241</v>
      </c>
      <c r="C203" s="8">
        <f>SUMIFS(Expenses!$H$2:$H$121,Expenses!$B$2:$B$121,'Cash Flow'!A203)</f>
        <v>0</v>
      </c>
      <c r="D203" s="9">
        <f t="shared" si="3"/>
        <v>31720</v>
      </c>
    </row>
    <row r="204" spans="1:4">
      <c r="A204" s="7">
        <v>46225</v>
      </c>
      <c r="B204" s="8">
        <f>SUMIFS(Income!$G$2:$G$121,Income!$B$2:$B$121,'Cash Flow'!A204)</f>
        <v>0</v>
      </c>
      <c r="C204" s="8">
        <f>SUMIFS(Expenses!$H$2:$H$121,Expenses!$B$2:$B$121,'Cash Flow'!A204)</f>
        <v>4053</v>
      </c>
      <c r="D204" s="9">
        <f t="shared" si="3"/>
        <v>27667</v>
      </c>
    </row>
    <row r="205" spans="1:4">
      <c r="A205" s="7">
        <v>46226</v>
      </c>
      <c r="B205" s="8">
        <f>SUMIFS(Income!$G$2:$G$121,Income!$B$2:$B$121,'Cash Flow'!A205)</f>
        <v>0</v>
      </c>
      <c r="C205" s="8">
        <f>SUMIFS(Expenses!$H$2:$H$121,Expenses!$B$2:$B$121,'Cash Flow'!A205)</f>
        <v>0</v>
      </c>
      <c r="D205" s="9">
        <f t="shared" si="3"/>
        <v>27667</v>
      </c>
    </row>
    <row r="206" spans="1:4">
      <c r="A206" s="7">
        <v>46227</v>
      </c>
      <c r="B206" s="8">
        <f>SUMIFS(Income!$G$2:$G$121,Income!$B$2:$B$121,'Cash Flow'!A206)</f>
        <v>856</v>
      </c>
      <c r="C206" s="8">
        <f>SUMIFS(Expenses!$H$2:$H$121,Expenses!$B$2:$B$121,'Cash Flow'!A206)</f>
        <v>0</v>
      </c>
      <c r="D206" s="9">
        <f t="shared" si="3"/>
        <v>28523</v>
      </c>
    </row>
    <row r="207" spans="1:4">
      <c r="A207" s="7">
        <v>46228</v>
      </c>
      <c r="B207" s="8">
        <f>SUMIFS(Income!$G$2:$G$121,Income!$B$2:$B$121,'Cash Flow'!A207)</f>
        <v>0</v>
      </c>
      <c r="C207" s="8">
        <f>SUMIFS(Expenses!$H$2:$H$121,Expenses!$B$2:$B$121,'Cash Flow'!A207)</f>
        <v>885</v>
      </c>
      <c r="D207" s="9">
        <f t="shared" si="3"/>
        <v>27638</v>
      </c>
    </row>
    <row r="208" spans="1:4">
      <c r="A208" s="7">
        <v>46229</v>
      </c>
      <c r="B208" s="8">
        <f>SUMIFS(Income!$G$2:$G$121,Income!$B$2:$B$121,'Cash Flow'!A208)</f>
        <v>0</v>
      </c>
      <c r="C208" s="8">
        <f>SUMIFS(Expenses!$H$2:$H$121,Expenses!$B$2:$B$121,'Cash Flow'!A208)</f>
        <v>0</v>
      </c>
      <c r="D208" s="9">
        <f t="shared" si="3"/>
        <v>27638</v>
      </c>
    </row>
    <row r="209" spans="1:4">
      <c r="A209" s="7">
        <v>46230</v>
      </c>
      <c r="B209" s="8">
        <f>SUMIFS(Income!$G$2:$G$121,Income!$B$2:$B$121,'Cash Flow'!A209)</f>
        <v>298</v>
      </c>
      <c r="C209" s="8">
        <f>SUMIFS(Expenses!$H$2:$H$121,Expenses!$B$2:$B$121,'Cash Flow'!A209)</f>
        <v>0</v>
      </c>
      <c r="D209" s="9">
        <f t="shared" si="3"/>
        <v>27936</v>
      </c>
    </row>
    <row r="210" spans="1:4">
      <c r="A210" s="7">
        <v>46231</v>
      </c>
      <c r="B210" s="8">
        <f>SUMIFS(Income!$G$2:$G$121,Income!$B$2:$B$121,'Cash Flow'!A210)</f>
        <v>0</v>
      </c>
      <c r="C210" s="8">
        <f>SUMIFS(Expenses!$H$2:$H$121,Expenses!$B$2:$B$121,'Cash Flow'!A210)</f>
        <v>54</v>
      </c>
      <c r="D210" s="9">
        <f t="shared" si="3"/>
        <v>27882</v>
      </c>
    </row>
    <row r="211" spans="1:4">
      <c r="A211" s="7">
        <v>46232</v>
      </c>
      <c r="B211" s="8">
        <f>SUMIFS(Income!$G$2:$G$121,Income!$B$2:$B$121,'Cash Flow'!A211)</f>
        <v>0</v>
      </c>
      <c r="C211" s="8">
        <f>SUMIFS(Expenses!$H$2:$H$121,Expenses!$B$2:$B$121,'Cash Flow'!A211)</f>
        <v>0</v>
      </c>
      <c r="D211" s="9">
        <f t="shared" si="3"/>
        <v>27882</v>
      </c>
    </row>
    <row r="212" spans="1:4">
      <c r="A212" s="7">
        <v>46233</v>
      </c>
      <c r="B212" s="8">
        <f>SUMIFS(Income!$G$2:$G$121,Income!$B$2:$B$121,'Cash Flow'!A212)</f>
        <v>249</v>
      </c>
      <c r="C212" s="8">
        <f>SUMIFS(Expenses!$H$2:$H$121,Expenses!$B$2:$B$121,'Cash Flow'!A212)</f>
        <v>0</v>
      </c>
      <c r="D212" s="9">
        <f t="shared" si="3"/>
        <v>28131</v>
      </c>
    </row>
    <row r="213" spans="1:4">
      <c r="A213" s="7">
        <v>46234</v>
      </c>
      <c r="B213" s="8">
        <f>SUMIFS(Income!$G$2:$G$121,Income!$B$2:$B$121,'Cash Flow'!A213)</f>
        <v>0</v>
      </c>
      <c r="C213" s="8">
        <f>SUMIFS(Expenses!$H$2:$H$121,Expenses!$B$2:$B$121,'Cash Flow'!A213)</f>
        <v>838</v>
      </c>
      <c r="D213" s="9">
        <f t="shared" si="3"/>
        <v>27293</v>
      </c>
    </row>
    <row r="214" spans="1:4">
      <c r="A214" s="7">
        <v>46235</v>
      </c>
      <c r="B214" s="8">
        <f>SUMIFS(Income!$G$2:$G$121,Income!$B$2:$B$121,'Cash Flow'!A214)</f>
        <v>0</v>
      </c>
      <c r="C214" s="8">
        <f>SUMIFS(Expenses!$H$2:$H$121,Expenses!$B$2:$B$121,'Cash Flow'!A214)</f>
        <v>0</v>
      </c>
      <c r="D214" s="9">
        <f t="shared" si="3"/>
        <v>27293</v>
      </c>
    </row>
    <row r="215" spans="1:4">
      <c r="A215" s="7">
        <v>46236</v>
      </c>
      <c r="B215" s="8">
        <f>SUMIFS(Income!$G$2:$G$121,Income!$B$2:$B$121,'Cash Flow'!A215)</f>
        <v>498</v>
      </c>
      <c r="C215" s="8">
        <f>SUMIFS(Expenses!$H$2:$H$121,Expenses!$B$2:$B$121,'Cash Flow'!A215)</f>
        <v>0</v>
      </c>
      <c r="D215" s="9">
        <f t="shared" si="3"/>
        <v>27791</v>
      </c>
    </row>
    <row r="216" spans="1:4">
      <c r="A216" s="7">
        <v>46237</v>
      </c>
      <c r="B216" s="8">
        <f>SUMIFS(Income!$G$2:$G$121,Income!$B$2:$B$121,'Cash Flow'!A216)</f>
        <v>0</v>
      </c>
      <c r="C216" s="8">
        <f>SUMIFS(Expenses!$H$2:$H$121,Expenses!$B$2:$B$121,'Cash Flow'!A216)</f>
        <v>1247</v>
      </c>
      <c r="D216" s="9">
        <f t="shared" si="3"/>
        <v>26544</v>
      </c>
    </row>
    <row r="217" spans="1:4">
      <c r="A217" s="7">
        <v>46238</v>
      </c>
      <c r="B217" s="8">
        <f>SUMIFS(Income!$G$2:$G$121,Income!$B$2:$B$121,'Cash Flow'!A217)</f>
        <v>0</v>
      </c>
      <c r="C217" s="8">
        <f>SUMIFS(Expenses!$H$2:$H$121,Expenses!$B$2:$B$121,'Cash Flow'!A217)</f>
        <v>0</v>
      </c>
      <c r="D217" s="9">
        <f t="shared" si="3"/>
        <v>26544</v>
      </c>
    </row>
    <row r="218" spans="1:4">
      <c r="A218" s="7">
        <v>46239</v>
      </c>
      <c r="B218" s="8">
        <f>SUMIFS(Income!$G$2:$G$121,Income!$B$2:$B$121,'Cash Flow'!A218)</f>
        <v>483</v>
      </c>
      <c r="C218" s="8">
        <f>SUMIFS(Expenses!$H$2:$H$121,Expenses!$B$2:$B$121,'Cash Flow'!A218)</f>
        <v>0</v>
      </c>
      <c r="D218" s="9">
        <f t="shared" si="3"/>
        <v>27027</v>
      </c>
    </row>
    <row r="219" spans="1:4">
      <c r="A219" s="7">
        <v>46240</v>
      </c>
      <c r="B219" s="8">
        <f>SUMIFS(Income!$G$2:$G$121,Income!$B$2:$B$121,'Cash Flow'!A219)</f>
        <v>0</v>
      </c>
      <c r="C219" s="8">
        <f>SUMIFS(Expenses!$H$2:$H$121,Expenses!$B$2:$B$121,'Cash Flow'!A219)</f>
        <v>795</v>
      </c>
      <c r="D219" s="9">
        <f t="shared" si="3"/>
        <v>26232</v>
      </c>
    </row>
    <row r="220" spans="1:4">
      <c r="A220" s="7">
        <v>46241</v>
      </c>
      <c r="B220" s="8">
        <f>SUMIFS(Income!$G$2:$G$121,Income!$B$2:$B$121,'Cash Flow'!A220)</f>
        <v>0</v>
      </c>
      <c r="C220" s="8">
        <f>SUMIFS(Expenses!$H$2:$H$121,Expenses!$B$2:$B$121,'Cash Flow'!A220)</f>
        <v>0</v>
      </c>
      <c r="D220" s="9">
        <f t="shared" si="3"/>
        <v>26232</v>
      </c>
    </row>
    <row r="221" spans="1:4">
      <c r="A221" s="7">
        <v>46242</v>
      </c>
      <c r="B221" s="8">
        <f>SUMIFS(Income!$G$2:$G$121,Income!$B$2:$B$121,'Cash Flow'!A221)</f>
        <v>1057</v>
      </c>
      <c r="C221" s="8">
        <f>SUMIFS(Expenses!$H$2:$H$121,Expenses!$B$2:$B$121,'Cash Flow'!A221)</f>
        <v>0</v>
      </c>
      <c r="D221" s="9">
        <f t="shared" si="3"/>
        <v>27289</v>
      </c>
    </row>
    <row r="222" spans="1:4">
      <c r="A222" s="7">
        <v>46243</v>
      </c>
      <c r="B222" s="8">
        <f>SUMIFS(Income!$G$2:$G$121,Income!$B$2:$B$121,'Cash Flow'!A222)</f>
        <v>0</v>
      </c>
      <c r="C222" s="8">
        <f>SUMIFS(Expenses!$H$2:$H$121,Expenses!$B$2:$B$121,'Cash Flow'!A222)</f>
        <v>444</v>
      </c>
      <c r="D222" s="9">
        <f t="shared" si="3"/>
        <v>26845</v>
      </c>
    </row>
    <row r="223" spans="1:4">
      <c r="A223" s="7">
        <v>46244</v>
      </c>
      <c r="B223" s="8">
        <f>SUMIFS(Income!$G$2:$G$121,Income!$B$2:$B$121,'Cash Flow'!A223)</f>
        <v>0</v>
      </c>
      <c r="C223" s="8">
        <f>SUMIFS(Expenses!$H$2:$H$121,Expenses!$B$2:$B$121,'Cash Flow'!A223)</f>
        <v>0</v>
      </c>
      <c r="D223" s="9">
        <f t="shared" si="3"/>
        <v>26845</v>
      </c>
    </row>
    <row r="224" spans="1:4">
      <c r="A224" s="7">
        <v>46245</v>
      </c>
      <c r="B224" s="8">
        <f>SUMIFS(Income!$G$2:$G$121,Income!$B$2:$B$121,'Cash Flow'!A224)</f>
        <v>202</v>
      </c>
      <c r="C224" s="8">
        <f>SUMIFS(Expenses!$H$2:$H$121,Expenses!$B$2:$B$121,'Cash Flow'!A224)</f>
        <v>0</v>
      </c>
      <c r="D224" s="9">
        <f t="shared" si="3"/>
        <v>27047</v>
      </c>
    </row>
    <row r="225" spans="1:4">
      <c r="A225" s="7">
        <v>46246</v>
      </c>
      <c r="B225" s="8">
        <f>SUMIFS(Income!$G$2:$G$121,Income!$B$2:$B$121,'Cash Flow'!A225)</f>
        <v>0</v>
      </c>
      <c r="C225" s="8">
        <f>SUMIFS(Expenses!$H$2:$H$121,Expenses!$B$2:$B$121,'Cash Flow'!A225)</f>
        <v>1112</v>
      </c>
      <c r="D225" s="9">
        <f t="shared" si="3"/>
        <v>25935</v>
      </c>
    </row>
    <row r="226" spans="1:4">
      <c r="A226" s="7">
        <v>46247</v>
      </c>
      <c r="B226" s="8">
        <f>SUMIFS(Income!$G$2:$G$121,Income!$B$2:$B$121,'Cash Flow'!A226)</f>
        <v>0</v>
      </c>
      <c r="C226" s="8">
        <f>SUMIFS(Expenses!$H$2:$H$121,Expenses!$B$2:$B$121,'Cash Flow'!A226)</f>
        <v>0</v>
      </c>
      <c r="D226" s="9">
        <f t="shared" si="3"/>
        <v>25935</v>
      </c>
    </row>
    <row r="227" spans="1:4">
      <c r="A227" s="7">
        <v>46248</v>
      </c>
      <c r="B227" s="8">
        <f>SUMIFS(Income!$G$2:$G$121,Income!$B$2:$B$121,'Cash Flow'!A227)</f>
        <v>164</v>
      </c>
      <c r="C227" s="8">
        <f>SUMIFS(Expenses!$H$2:$H$121,Expenses!$B$2:$B$121,'Cash Flow'!A227)</f>
        <v>0</v>
      </c>
      <c r="D227" s="9">
        <f t="shared" si="3"/>
        <v>26099</v>
      </c>
    </row>
    <row r="228" spans="1:4">
      <c r="A228" s="7">
        <v>46249</v>
      </c>
      <c r="B228" s="8">
        <f>SUMIFS(Income!$G$2:$G$121,Income!$B$2:$B$121,'Cash Flow'!A228)</f>
        <v>0</v>
      </c>
      <c r="C228" s="8">
        <f>SUMIFS(Expenses!$H$2:$H$121,Expenses!$B$2:$B$121,'Cash Flow'!A228)</f>
        <v>1544</v>
      </c>
      <c r="D228" s="9">
        <f t="shared" si="3"/>
        <v>24555</v>
      </c>
    </row>
    <row r="229" spans="1:4">
      <c r="A229" s="7">
        <v>46250</v>
      </c>
      <c r="B229" s="8">
        <f>SUMIFS(Income!$G$2:$G$121,Income!$B$2:$B$121,'Cash Flow'!A229)</f>
        <v>0</v>
      </c>
      <c r="C229" s="8">
        <f>SUMIFS(Expenses!$H$2:$H$121,Expenses!$B$2:$B$121,'Cash Flow'!A229)</f>
        <v>0</v>
      </c>
      <c r="D229" s="9">
        <f t="shared" si="3"/>
        <v>24555</v>
      </c>
    </row>
    <row r="230" spans="1:4">
      <c r="A230" s="7">
        <v>46251</v>
      </c>
      <c r="B230" s="8">
        <f>SUMIFS(Income!$G$2:$G$121,Income!$B$2:$B$121,'Cash Flow'!A230)</f>
        <v>636</v>
      </c>
      <c r="C230" s="8">
        <f>SUMIFS(Expenses!$H$2:$H$121,Expenses!$B$2:$B$121,'Cash Flow'!A230)</f>
        <v>0</v>
      </c>
      <c r="D230" s="9">
        <f t="shared" si="3"/>
        <v>25191</v>
      </c>
    </row>
    <row r="231" spans="1:4">
      <c r="A231" s="7">
        <v>46252</v>
      </c>
      <c r="B231" s="8">
        <f>SUMIFS(Income!$G$2:$G$121,Income!$B$2:$B$121,'Cash Flow'!A231)</f>
        <v>0</v>
      </c>
      <c r="C231" s="8">
        <f>SUMIFS(Expenses!$H$2:$H$121,Expenses!$B$2:$B$121,'Cash Flow'!A231)</f>
        <v>992</v>
      </c>
      <c r="D231" s="9">
        <f t="shared" si="3"/>
        <v>24199</v>
      </c>
    </row>
    <row r="232" spans="1:4">
      <c r="A232" s="7">
        <v>46253</v>
      </c>
      <c r="B232" s="8">
        <f>SUMIFS(Income!$G$2:$G$121,Income!$B$2:$B$121,'Cash Flow'!A232)</f>
        <v>0</v>
      </c>
      <c r="C232" s="8">
        <f>SUMIFS(Expenses!$H$2:$H$121,Expenses!$B$2:$B$121,'Cash Flow'!A232)</f>
        <v>0</v>
      </c>
      <c r="D232" s="9">
        <f t="shared" si="3"/>
        <v>24199</v>
      </c>
    </row>
    <row r="233" spans="1:4">
      <c r="A233" s="7">
        <v>46254</v>
      </c>
      <c r="B233" s="8">
        <f>SUMIFS(Income!$G$2:$G$121,Income!$B$2:$B$121,'Cash Flow'!A233)</f>
        <v>105</v>
      </c>
      <c r="C233" s="8">
        <f>SUMIFS(Expenses!$H$2:$H$121,Expenses!$B$2:$B$121,'Cash Flow'!A233)</f>
        <v>0</v>
      </c>
      <c r="D233" s="9">
        <f t="shared" si="3"/>
        <v>24304</v>
      </c>
    </row>
    <row r="234" spans="1:4">
      <c r="A234" s="7">
        <v>46255</v>
      </c>
      <c r="B234" s="8">
        <f>SUMIFS(Income!$G$2:$G$121,Income!$B$2:$B$121,'Cash Flow'!A234)</f>
        <v>0</v>
      </c>
      <c r="C234" s="8">
        <f>SUMIFS(Expenses!$H$2:$H$121,Expenses!$B$2:$B$121,'Cash Flow'!A234)</f>
        <v>272</v>
      </c>
      <c r="D234" s="9">
        <f t="shared" si="3"/>
        <v>24032</v>
      </c>
    </row>
    <row r="235" spans="1:4">
      <c r="A235" s="7">
        <v>46256</v>
      </c>
      <c r="B235" s="8">
        <f>SUMIFS(Income!$G$2:$G$121,Income!$B$2:$B$121,'Cash Flow'!A235)</f>
        <v>0</v>
      </c>
      <c r="C235" s="8">
        <f>SUMIFS(Expenses!$H$2:$H$121,Expenses!$B$2:$B$121,'Cash Flow'!A235)</f>
        <v>0</v>
      </c>
      <c r="D235" s="9">
        <f t="shared" si="3"/>
        <v>24032</v>
      </c>
    </row>
    <row r="236" spans="1:4">
      <c r="A236" s="7">
        <v>46257</v>
      </c>
      <c r="B236" s="8">
        <f>SUMIFS(Income!$G$2:$G$121,Income!$B$2:$B$121,'Cash Flow'!A236)</f>
        <v>154</v>
      </c>
      <c r="C236" s="8">
        <f>SUMIFS(Expenses!$H$2:$H$121,Expenses!$B$2:$B$121,'Cash Flow'!A236)</f>
        <v>0</v>
      </c>
      <c r="D236" s="9">
        <f t="shared" si="3"/>
        <v>24186</v>
      </c>
    </row>
    <row r="237" spans="1:4">
      <c r="A237" s="7">
        <v>46258</v>
      </c>
      <c r="B237" s="8">
        <f>SUMIFS(Income!$G$2:$G$121,Income!$B$2:$B$121,'Cash Flow'!A237)</f>
        <v>0</v>
      </c>
      <c r="C237" s="8">
        <f>SUMIFS(Expenses!$H$2:$H$121,Expenses!$B$2:$B$121,'Cash Flow'!A237)</f>
        <v>806</v>
      </c>
      <c r="D237" s="9">
        <f t="shared" si="3"/>
        <v>23380</v>
      </c>
    </row>
    <row r="238" spans="1:4">
      <c r="A238" s="7">
        <v>46259</v>
      </c>
      <c r="B238" s="8">
        <f>SUMIFS(Income!$G$2:$G$121,Income!$B$2:$B$121,'Cash Flow'!A238)</f>
        <v>0</v>
      </c>
      <c r="C238" s="8">
        <f>SUMIFS(Expenses!$H$2:$H$121,Expenses!$B$2:$B$121,'Cash Flow'!A238)</f>
        <v>0</v>
      </c>
      <c r="D238" s="9">
        <f t="shared" si="3"/>
        <v>23380</v>
      </c>
    </row>
    <row r="239" spans="1:4">
      <c r="A239" s="7">
        <v>46260</v>
      </c>
      <c r="B239" s="8">
        <f>SUMIFS(Income!$G$2:$G$121,Income!$B$2:$B$121,'Cash Flow'!A239)</f>
        <v>1970</v>
      </c>
      <c r="C239" s="8">
        <f>SUMIFS(Expenses!$H$2:$H$121,Expenses!$B$2:$B$121,'Cash Flow'!A239)</f>
        <v>0</v>
      </c>
      <c r="D239" s="9">
        <f t="shared" si="3"/>
        <v>25350</v>
      </c>
    </row>
    <row r="240" spans="1:4">
      <c r="A240" s="7">
        <v>46261</v>
      </c>
      <c r="B240" s="8">
        <f>SUMIFS(Income!$G$2:$G$121,Income!$B$2:$B$121,'Cash Flow'!A240)</f>
        <v>0</v>
      </c>
      <c r="C240" s="8">
        <f>SUMIFS(Expenses!$H$2:$H$121,Expenses!$B$2:$B$121,'Cash Flow'!A240)</f>
        <v>480</v>
      </c>
      <c r="D240" s="9">
        <f t="shared" si="3"/>
        <v>24870</v>
      </c>
    </row>
    <row r="241" spans="1:4">
      <c r="A241" s="7">
        <v>46262</v>
      </c>
      <c r="B241" s="8">
        <f>SUMIFS(Income!$G$2:$G$121,Income!$B$2:$B$121,'Cash Flow'!A241)</f>
        <v>0</v>
      </c>
      <c r="C241" s="8">
        <f>SUMIFS(Expenses!$H$2:$H$121,Expenses!$B$2:$B$121,'Cash Flow'!A241)</f>
        <v>0</v>
      </c>
      <c r="D241" s="9">
        <f t="shared" si="3"/>
        <v>24870</v>
      </c>
    </row>
    <row r="242" spans="1:4">
      <c r="A242" s="7">
        <v>46263</v>
      </c>
      <c r="B242" s="8">
        <f>SUMIFS(Income!$G$2:$G$121,Income!$B$2:$B$121,'Cash Flow'!A242)</f>
        <v>447</v>
      </c>
      <c r="C242" s="8">
        <f>SUMIFS(Expenses!$H$2:$H$121,Expenses!$B$2:$B$121,'Cash Flow'!A242)</f>
        <v>0</v>
      </c>
      <c r="D242" s="9">
        <f t="shared" si="3"/>
        <v>25317</v>
      </c>
    </row>
    <row r="243" spans="1:4">
      <c r="A243" s="7">
        <v>46264</v>
      </c>
      <c r="B243" s="8">
        <f>SUMIFS(Income!$G$2:$G$121,Income!$B$2:$B$121,'Cash Flow'!A243)</f>
        <v>0</v>
      </c>
      <c r="C243" s="8">
        <f>SUMIFS(Expenses!$H$2:$H$121,Expenses!$B$2:$B$121,'Cash Flow'!A243)</f>
        <v>2316</v>
      </c>
      <c r="D243" s="9">
        <f t="shared" si="3"/>
        <v>23001</v>
      </c>
    </row>
    <row r="244" spans="1:4">
      <c r="A244" s="7">
        <v>46265</v>
      </c>
      <c r="B244" s="8">
        <f>SUMIFS(Income!$G$2:$G$121,Income!$B$2:$B$121,'Cash Flow'!A244)</f>
        <v>0</v>
      </c>
      <c r="C244" s="8">
        <f>SUMIFS(Expenses!$H$2:$H$121,Expenses!$B$2:$B$121,'Cash Flow'!A244)</f>
        <v>0</v>
      </c>
      <c r="D244" s="9">
        <f t="shared" si="3"/>
        <v>23001</v>
      </c>
    </row>
    <row r="245" spans="1:4">
      <c r="A245" s="7">
        <v>46266</v>
      </c>
      <c r="B245" s="8">
        <f>SUMIFS(Income!$G$2:$G$121,Income!$B$2:$B$121,'Cash Flow'!A245)</f>
        <v>626</v>
      </c>
      <c r="C245" s="8">
        <f>SUMIFS(Expenses!$H$2:$H$121,Expenses!$B$2:$B$121,'Cash Flow'!A245)</f>
        <v>0</v>
      </c>
      <c r="D245" s="9">
        <f t="shared" si="3"/>
        <v>23627</v>
      </c>
    </row>
    <row r="246" spans="1:4">
      <c r="A246" s="7">
        <v>46267</v>
      </c>
      <c r="B246" s="8">
        <f>SUMIFS(Income!$G$2:$G$121,Income!$B$2:$B$121,'Cash Flow'!A246)</f>
        <v>0</v>
      </c>
      <c r="C246" s="8">
        <f>SUMIFS(Expenses!$H$2:$H$121,Expenses!$B$2:$B$121,'Cash Flow'!A246)</f>
        <v>1110</v>
      </c>
      <c r="D246" s="9">
        <f t="shared" si="3"/>
        <v>22517</v>
      </c>
    </row>
    <row r="247" spans="1:4">
      <c r="A247" s="7">
        <v>46268</v>
      </c>
      <c r="B247" s="8">
        <f>SUMIFS(Income!$G$2:$G$121,Income!$B$2:$B$121,'Cash Flow'!A247)</f>
        <v>0</v>
      </c>
      <c r="C247" s="8">
        <f>SUMIFS(Expenses!$H$2:$H$121,Expenses!$B$2:$B$121,'Cash Flow'!A247)</f>
        <v>0</v>
      </c>
      <c r="D247" s="9">
        <f t="shared" si="3"/>
        <v>22517</v>
      </c>
    </row>
    <row r="248" spans="1:4">
      <c r="A248" s="7">
        <v>46269</v>
      </c>
      <c r="B248" s="8">
        <f>SUMIFS(Income!$G$2:$G$121,Income!$B$2:$B$121,'Cash Flow'!A248)</f>
        <v>1054</v>
      </c>
      <c r="C248" s="8">
        <f>SUMIFS(Expenses!$H$2:$H$121,Expenses!$B$2:$B$121,'Cash Flow'!A248)</f>
        <v>0</v>
      </c>
      <c r="D248" s="9">
        <f t="shared" si="3"/>
        <v>23571</v>
      </c>
    </row>
    <row r="249" spans="1:4">
      <c r="A249" s="7">
        <v>46270</v>
      </c>
      <c r="B249" s="8">
        <f>SUMIFS(Income!$G$2:$G$121,Income!$B$2:$B$121,'Cash Flow'!A249)</f>
        <v>0</v>
      </c>
      <c r="C249" s="8">
        <f>SUMIFS(Expenses!$H$2:$H$121,Expenses!$B$2:$B$121,'Cash Flow'!A249)</f>
        <v>252</v>
      </c>
      <c r="D249" s="9">
        <f t="shared" si="3"/>
        <v>23319</v>
      </c>
    </row>
    <row r="250" spans="1:4">
      <c r="A250" s="7">
        <v>46271</v>
      </c>
      <c r="B250" s="8">
        <f>SUMIFS(Income!$G$2:$G$121,Income!$B$2:$B$121,'Cash Flow'!A250)</f>
        <v>0</v>
      </c>
      <c r="C250" s="8">
        <f>SUMIFS(Expenses!$H$2:$H$121,Expenses!$B$2:$B$121,'Cash Flow'!A250)</f>
        <v>0</v>
      </c>
      <c r="D250" s="9">
        <f t="shared" si="3"/>
        <v>23319</v>
      </c>
    </row>
    <row r="251" spans="1:4">
      <c r="A251" s="7">
        <v>46272</v>
      </c>
      <c r="B251" s="8">
        <f>SUMIFS(Income!$G$2:$G$121,Income!$B$2:$B$121,'Cash Flow'!A251)</f>
        <v>505</v>
      </c>
      <c r="C251" s="8">
        <f>SUMIFS(Expenses!$H$2:$H$121,Expenses!$B$2:$B$121,'Cash Flow'!A251)</f>
        <v>0</v>
      </c>
      <c r="D251" s="9">
        <f t="shared" si="3"/>
        <v>23824</v>
      </c>
    </row>
    <row r="252" spans="1:4">
      <c r="A252" s="7">
        <v>46273</v>
      </c>
      <c r="B252" s="8">
        <f>SUMIFS(Income!$G$2:$G$121,Income!$B$2:$B$121,'Cash Flow'!A252)</f>
        <v>0</v>
      </c>
      <c r="C252" s="8">
        <f>SUMIFS(Expenses!$H$2:$H$121,Expenses!$B$2:$B$121,'Cash Flow'!A252)</f>
        <v>509</v>
      </c>
      <c r="D252" s="9">
        <f t="shared" si="3"/>
        <v>23315</v>
      </c>
    </row>
    <row r="253" spans="1:4">
      <c r="A253" s="7">
        <v>46274</v>
      </c>
      <c r="B253" s="8">
        <f>SUMIFS(Income!$G$2:$G$121,Income!$B$2:$B$121,'Cash Flow'!A253)</f>
        <v>0</v>
      </c>
      <c r="C253" s="8">
        <f>SUMIFS(Expenses!$H$2:$H$121,Expenses!$B$2:$B$121,'Cash Flow'!A253)</f>
        <v>0</v>
      </c>
      <c r="D253" s="9">
        <f t="shared" si="3"/>
        <v>23315</v>
      </c>
    </row>
    <row r="254" spans="1:4">
      <c r="A254" s="7">
        <v>46275</v>
      </c>
      <c r="B254" s="8">
        <f>SUMIFS(Income!$G$2:$G$121,Income!$B$2:$B$121,'Cash Flow'!A254)</f>
        <v>2531</v>
      </c>
      <c r="C254" s="8">
        <f>SUMIFS(Expenses!$H$2:$H$121,Expenses!$B$2:$B$121,'Cash Flow'!A254)</f>
        <v>0</v>
      </c>
      <c r="D254" s="9">
        <f t="shared" si="3"/>
        <v>25846</v>
      </c>
    </row>
    <row r="255" spans="1:4">
      <c r="A255" s="7">
        <v>46276</v>
      </c>
      <c r="B255" s="8">
        <f>SUMIFS(Income!$G$2:$G$121,Income!$B$2:$B$121,'Cash Flow'!A255)</f>
        <v>0</v>
      </c>
      <c r="C255" s="8">
        <f>SUMIFS(Expenses!$H$2:$H$121,Expenses!$B$2:$B$121,'Cash Flow'!A255)</f>
        <v>3734</v>
      </c>
      <c r="D255" s="9">
        <f t="shared" si="3"/>
        <v>22112</v>
      </c>
    </row>
    <row r="256" spans="1:4">
      <c r="A256" s="7">
        <v>46277</v>
      </c>
      <c r="B256" s="8">
        <f>SUMIFS(Income!$G$2:$G$121,Income!$B$2:$B$121,'Cash Flow'!A256)</f>
        <v>0</v>
      </c>
      <c r="C256" s="8">
        <f>SUMIFS(Expenses!$H$2:$H$121,Expenses!$B$2:$B$121,'Cash Flow'!A256)</f>
        <v>0</v>
      </c>
      <c r="D256" s="9">
        <f t="shared" si="3"/>
        <v>22112</v>
      </c>
    </row>
    <row r="257" spans="1:4">
      <c r="A257" s="7">
        <v>46278</v>
      </c>
      <c r="B257" s="8">
        <f>SUMIFS(Income!$G$2:$G$121,Income!$B$2:$B$121,'Cash Flow'!A257)</f>
        <v>338</v>
      </c>
      <c r="C257" s="8">
        <f>SUMIFS(Expenses!$H$2:$H$121,Expenses!$B$2:$B$121,'Cash Flow'!A257)</f>
        <v>0</v>
      </c>
      <c r="D257" s="9">
        <f t="shared" si="3"/>
        <v>22450</v>
      </c>
    </row>
    <row r="258" spans="1:4">
      <c r="A258" s="7">
        <v>46279</v>
      </c>
      <c r="B258" s="8">
        <f>SUMIFS(Income!$G$2:$G$121,Income!$B$2:$B$121,'Cash Flow'!A258)</f>
        <v>0</v>
      </c>
      <c r="C258" s="8">
        <f>SUMIFS(Expenses!$H$2:$H$121,Expenses!$B$2:$B$121,'Cash Flow'!A258)</f>
        <v>1839</v>
      </c>
      <c r="D258" s="9">
        <f t="shared" si="3"/>
        <v>20611</v>
      </c>
    </row>
    <row r="259" spans="1:4">
      <c r="A259" s="7">
        <v>46280</v>
      </c>
      <c r="B259" s="8">
        <f>SUMIFS(Income!$G$2:$G$121,Income!$B$2:$B$121,'Cash Flow'!A259)</f>
        <v>0</v>
      </c>
      <c r="C259" s="8">
        <f>SUMIFS(Expenses!$H$2:$H$121,Expenses!$B$2:$B$121,'Cash Flow'!A259)</f>
        <v>0</v>
      </c>
      <c r="D259" s="9">
        <f t="shared" si="3"/>
        <v>20611</v>
      </c>
    </row>
    <row r="260" spans="1:4">
      <c r="A260" s="7">
        <v>46281</v>
      </c>
      <c r="B260" s="8">
        <f>SUMIFS(Income!$G$2:$G$121,Income!$B$2:$B$121,'Cash Flow'!A260)</f>
        <v>636</v>
      </c>
      <c r="C260" s="8">
        <f>SUMIFS(Expenses!$H$2:$H$121,Expenses!$B$2:$B$121,'Cash Flow'!A260)</f>
        <v>0</v>
      </c>
      <c r="D260" s="9">
        <f t="shared" si="3"/>
        <v>21247</v>
      </c>
    </row>
    <row r="261" spans="1:4">
      <c r="A261" s="7">
        <v>46282</v>
      </c>
      <c r="B261" s="8">
        <f>SUMIFS(Income!$G$2:$G$121,Income!$B$2:$B$121,'Cash Flow'!A261)</f>
        <v>0</v>
      </c>
      <c r="C261" s="8">
        <f>SUMIFS(Expenses!$H$2:$H$121,Expenses!$B$2:$B$121,'Cash Flow'!A261)</f>
        <v>3872</v>
      </c>
      <c r="D261" s="9">
        <f t="shared" ref="D261:D324" si="4">D260+B261-C261</f>
        <v>17375</v>
      </c>
    </row>
    <row r="262" spans="1:4">
      <c r="A262" s="7">
        <v>46283</v>
      </c>
      <c r="B262" s="8">
        <f>SUMIFS(Income!$G$2:$G$121,Income!$B$2:$B$121,'Cash Flow'!A262)</f>
        <v>0</v>
      </c>
      <c r="C262" s="8">
        <f>SUMIFS(Expenses!$H$2:$H$121,Expenses!$B$2:$B$121,'Cash Flow'!A262)</f>
        <v>0</v>
      </c>
      <c r="D262" s="9">
        <f t="shared" si="4"/>
        <v>17375</v>
      </c>
    </row>
    <row r="263" spans="1:4">
      <c r="A263" s="7">
        <v>46284</v>
      </c>
      <c r="B263" s="8">
        <f>SUMIFS(Income!$G$2:$G$121,Income!$B$2:$B$121,'Cash Flow'!A263)</f>
        <v>1529</v>
      </c>
      <c r="C263" s="8">
        <f>SUMIFS(Expenses!$H$2:$H$121,Expenses!$B$2:$B$121,'Cash Flow'!A263)</f>
        <v>0</v>
      </c>
      <c r="D263" s="9">
        <f t="shared" si="4"/>
        <v>18904</v>
      </c>
    </row>
    <row r="264" spans="1:4">
      <c r="A264" s="7">
        <v>46285</v>
      </c>
      <c r="B264" s="8">
        <f>SUMIFS(Income!$G$2:$G$121,Income!$B$2:$B$121,'Cash Flow'!A264)</f>
        <v>0</v>
      </c>
      <c r="C264" s="8">
        <f>SUMIFS(Expenses!$H$2:$H$121,Expenses!$B$2:$B$121,'Cash Flow'!A264)</f>
        <v>221</v>
      </c>
      <c r="D264" s="9">
        <f t="shared" si="4"/>
        <v>18683</v>
      </c>
    </row>
    <row r="265" spans="1:4">
      <c r="A265" s="7">
        <v>46286</v>
      </c>
      <c r="B265" s="8">
        <f>SUMIFS(Income!$G$2:$G$121,Income!$B$2:$B$121,'Cash Flow'!A265)</f>
        <v>0</v>
      </c>
      <c r="C265" s="8">
        <f>SUMIFS(Expenses!$H$2:$H$121,Expenses!$B$2:$B$121,'Cash Flow'!A265)</f>
        <v>0</v>
      </c>
      <c r="D265" s="9">
        <f t="shared" si="4"/>
        <v>18683</v>
      </c>
    </row>
    <row r="266" spans="1:4">
      <c r="A266" s="7">
        <v>46287</v>
      </c>
      <c r="B266" s="8">
        <f>SUMIFS(Income!$G$2:$G$121,Income!$B$2:$B$121,'Cash Flow'!A266)</f>
        <v>801</v>
      </c>
      <c r="C266" s="8">
        <f>SUMIFS(Expenses!$H$2:$H$121,Expenses!$B$2:$B$121,'Cash Flow'!A266)</f>
        <v>0</v>
      </c>
      <c r="D266" s="9">
        <f t="shared" si="4"/>
        <v>19484</v>
      </c>
    </row>
    <row r="267" spans="1:4">
      <c r="A267" s="7">
        <v>46288</v>
      </c>
      <c r="B267" s="8">
        <f>SUMIFS(Income!$G$2:$G$121,Income!$B$2:$B$121,'Cash Flow'!A267)</f>
        <v>0</v>
      </c>
      <c r="C267" s="8">
        <f>SUMIFS(Expenses!$H$2:$H$121,Expenses!$B$2:$B$121,'Cash Flow'!A267)</f>
        <v>624</v>
      </c>
      <c r="D267" s="9">
        <f t="shared" si="4"/>
        <v>18860</v>
      </c>
    </row>
    <row r="268" spans="1:4">
      <c r="A268" s="7">
        <v>46289</v>
      </c>
      <c r="B268" s="8">
        <f>SUMIFS(Income!$G$2:$G$121,Income!$B$2:$B$121,'Cash Flow'!A268)</f>
        <v>0</v>
      </c>
      <c r="C268" s="8">
        <f>SUMIFS(Expenses!$H$2:$H$121,Expenses!$B$2:$B$121,'Cash Flow'!A268)</f>
        <v>0</v>
      </c>
      <c r="D268" s="9">
        <f t="shared" si="4"/>
        <v>18860</v>
      </c>
    </row>
    <row r="269" spans="1:4">
      <c r="A269" s="7">
        <v>46290</v>
      </c>
      <c r="B269" s="8">
        <f>SUMIFS(Income!$G$2:$G$121,Income!$B$2:$B$121,'Cash Flow'!A269)</f>
        <v>753</v>
      </c>
      <c r="C269" s="8">
        <f>SUMIFS(Expenses!$H$2:$H$121,Expenses!$B$2:$B$121,'Cash Flow'!A269)</f>
        <v>0</v>
      </c>
      <c r="D269" s="9">
        <f t="shared" si="4"/>
        <v>19613</v>
      </c>
    </row>
    <row r="270" spans="1:4">
      <c r="A270" s="7">
        <v>46291</v>
      </c>
      <c r="B270" s="8">
        <f>SUMIFS(Income!$G$2:$G$121,Income!$B$2:$B$121,'Cash Flow'!A270)</f>
        <v>0</v>
      </c>
      <c r="C270" s="8">
        <f>SUMIFS(Expenses!$H$2:$H$121,Expenses!$B$2:$B$121,'Cash Flow'!A270)</f>
        <v>748</v>
      </c>
      <c r="D270" s="9">
        <f t="shared" si="4"/>
        <v>18865</v>
      </c>
    </row>
    <row r="271" spans="1:4">
      <c r="A271" s="7">
        <v>46292</v>
      </c>
      <c r="B271" s="8">
        <f>SUMIFS(Income!$G$2:$G$121,Income!$B$2:$B$121,'Cash Flow'!A271)</f>
        <v>0</v>
      </c>
      <c r="C271" s="8">
        <f>SUMIFS(Expenses!$H$2:$H$121,Expenses!$B$2:$B$121,'Cash Flow'!A271)</f>
        <v>0</v>
      </c>
      <c r="D271" s="9">
        <f t="shared" si="4"/>
        <v>18865</v>
      </c>
    </row>
    <row r="272" spans="1:4">
      <c r="A272" s="7">
        <v>46293</v>
      </c>
      <c r="B272" s="8">
        <f>SUMIFS(Income!$G$2:$G$121,Income!$B$2:$B$121,'Cash Flow'!A272)</f>
        <v>575</v>
      </c>
      <c r="C272" s="8">
        <f>SUMIFS(Expenses!$H$2:$H$121,Expenses!$B$2:$B$121,'Cash Flow'!A272)</f>
        <v>0</v>
      </c>
      <c r="D272" s="9">
        <f t="shared" si="4"/>
        <v>19440</v>
      </c>
    </row>
    <row r="273" spans="1:4">
      <c r="A273" s="7">
        <v>46294</v>
      </c>
      <c r="B273" s="8">
        <f>SUMIFS(Income!$G$2:$G$121,Income!$B$2:$B$121,'Cash Flow'!A273)</f>
        <v>0</v>
      </c>
      <c r="C273" s="8">
        <f>SUMIFS(Expenses!$H$2:$H$121,Expenses!$B$2:$B$121,'Cash Flow'!A273)</f>
        <v>1168</v>
      </c>
      <c r="D273" s="9">
        <f t="shared" si="4"/>
        <v>18272</v>
      </c>
    </row>
    <row r="274" spans="1:4">
      <c r="A274" s="7">
        <v>46295</v>
      </c>
      <c r="B274" s="8">
        <f>SUMIFS(Income!$G$2:$G$121,Income!$B$2:$B$121,'Cash Flow'!A274)</f>
        <v>0</v>
      </c>
      <c r="C274" s="8">
        <f>SUMIFS(Expenses!$H$2:$H$121,Expenses!$B$2:$B$121,'Cash Flow'!A274)</f>
        <v>0</v>
      </c>
      <c r="D274" s="9">
        <f t="shared" si="4"/>
        <v>18272</v>
      </c>
    </row>
    <row r="275" spans="1:4">
      <c r="A275" s="7">
        <v>46296</v>
      </c>
      <c r="B275" s="8">
        <f>SUMIFS(Income!$G$2:$G$121,Income!$B$2:$B$121,'Cash Flow'!A275)</f>
        <v>759</v>
      </c>
      <c r="C275" s="8">
        <f>SUMIFS(Expenses!$H$2:$H$121,Expenses!$B$2:$B$121,'Cash Flow'!A275)</f>
        <v>0</v>
      </c>
      <c r="D275" s="9">
        <f t="shared" si="4"/>
        <v>19031</v>
      </c>
    </row>
    <row r="276" spans="1:4">
      <c r="A276" s="7">
        <v>46297</v>
      </c>
      <c r="B276" s="8">
        <f>SUMIFS(Income!$G$2:$G$121,Income!$B$2:$B$121,'Cash Flow'!A276)</f>
        <v>0</v>
      </c>
      <c r="C276" s="8">
        <f>SUMIFS(Expenses!$H$2:$H$121,Expenses!$B$2:$B$121,'Cash Flow'!A276)</f>
        <v>855</v>
      </c>
      <c r="D276" s="9">
        <f t="shared" si="4"/>
        <v>18176</v>
      </c>
    </row>
    <row r="277" spans="1:4">
      <c r="A277" s="7">
        <v>46298</v>
      </c>
      <c r="B277" s="8">
        <f>SUMIFS(Income!$G$2:$G$121,Income!$B$2:$B$121,'Cash Flow'!A277)</f>
        <v>0</v>
      </c>
      <c r="C277" s="8">
        <f>SUMIFS(Expenses!$H$2:$H$121,Expenses!$B$2:$B$121,'Cash Flow'!A277)</f>
        <v>0</v>
      </c>
      <c r="D277" s="9">
        <f t="shared" si="4"/>
        <v>18176</v>
      </c>
    </row>
    <row r="278" spans="1:4">
      <c r="A278" s="7">
        <v>46299</v>
      </c>
      <c r="B278" s="8">
        <f>SUMIFS(Income!$G$2:$G$121,Income!$B$2:$B$121,'Cash Flow'!A278)</f>
        <v>199</v>
      </c>
      <c r="C278" s="8">
        <f>SUMIFS(Expenses!$H$2:$H$121,Expenses!$B$2:$B$121,'Cash Flow'!A278)</f>
        <v>0</v>
      </c>
      <c r="D278" s="9">
        <f t="shared" si="4"/>
        <v>18375</v>
      </c>
    </row>
    <row r="279" spans="1:4">
      <c r="A279" s="7">
        <v>46300</v>
      </c>
      <c r="B279" s="8">
        <f>SUMIFS(Income!$G$2:$G$121,Income!$B$2:$B$121,'Cash Flow'!A279)</f>
        <v>0</v>
      </c>
      <c r="C279" s="8">
        <f>SUMIFS(Expenses!$H$2:$H$121,Expenses!$B$2:$B$121,'Cash Flow'!A279)</f>
        <v>1112</v>
      </c>
      <c r="D279" s="9">
        <f t="shared" si="4"/>
        <v>17263</v>
      </c>
    </row>
    <row r="280" spans="1:4">
      <c r="A280" s="7">
        <v>46301</v>
      </c>
      <c r="B280" s="8">
        <f>SUMIFS(Income!$G$2:$G$121,Income!$B$2:$B$121,'Cash Flow'!A280)</f>
        <v>0</v>
      </c>
      <c r="C280" s="8">
        <f>SUMIFS(Expenses!$H$2:$H$121,Expenses!$B$2:$B$121,'Cash Flow'!A280)</f>
        <v>0</v>
      </c>
      <c r="D280" s="9">
        <f t="shared" si="4"/>
        <v>17263</v>
      </c>
    </row>
    <row r="281" spans="1:4">
      <c r="A281" s="7">
        <v>46302</v>
      </c>
      <c r="B281" s="8">
        <f>SUMIFS(Income!$G$2:$G$121,Income!$B$2:$B$121,'Cash Flow'!A281)</f>
        <v>323</v>
      </c>
      <c r="C281" s="8">
        <f>SUMIFS(Expenses!$H$2:$H$121,Expenses!$B$2:$B$121,'Cash Flow'!A281)</f>
        <v>0</v>
      </c>
      <c r="D281" s="9">
        <f t="shared" si="4"/>
        <v>17586</v>
      </c>
    </row>
    <row r="282" spans="1:4">
      <c r="A282" s="7">
        <v>46303</v>
      </c>
      <c r="B282" s="8">
        <f>SUMIFS(Income!$G$2:$G$121,Income!$B$2:$B$121,'Cash Flow'!A282)</f>
        <v>0</v>
      </c>
      <c r="C282" s="8">
        <f>SUMIFS(Expenses!$H$2:$H$121,Expenses!$B$2:$B$121,'Cash Flow'!A282)</f>
        <v>1391</v>
      </c>
      <c r="D282" s="9">
        <f t="shared" si="4"/>
        <v>16195</v>
      </c>
    </row>
    <row r="283" spans="1:4">
      <c r="A283" s="7">
        <v>46304</v>
      </c>
      <c r="B283" s="8">
        <f>SUMIFS(Income!$G$2:$G$121,Income!$B$2:$B$121,'Cash Flow'!A283)</f>
        <v>0</v>
      </c>
      <c r="C283" s="8">
        <f>SUMIFS(Expenses!$H$2:$H$121,Expenses!$B$2:$B$121,'Cash Flow'!A283)</f>
        <v>0</v>
      </c>
      <c r="D283" s="9">
        <f t="shared" si="4"/>
        <v>16195</v>
      </c>
    </row>
    <row r="284" spans="1:4">
      <c r="A284" s="7">
        <v>46305</v>
      </c>
      <c r="B284" s="8">
        <f>SUMIFS(Income!$G$2:$G$121,Income!$B$2:$B$121,'Cash Flow'!A284)</f>
        <v>244</v>
      </c>
      <c r="C284" s="8">
        <f>SUMIFS(Expenses!$H$2:$H$121,Expenses!$B$2:$B$121,'Cash Flow'!A284)</f>
        <v>0</v>
      </c>
      <c r="D284" s="9">
        <f t="shared" si="4"/>
        <v>16439</v>
      </c>
    </row>
    <row r="285" spans="1:4">
      <c r="A285" s="7">
        <v>46306</v>
      </c>
      <c r="B285" s="8">
        <f>SUMIFS(Income!$G$2:$G$121,Income!$B$2:$B$121,'Cash Flow'!A285)</f>
        <v>0</v>
      </c>
      <c r="C285" s="8">
        <f>SUMIFS(Expenses!$H$2:$H$121,Expenses!$B$2:$B$121,'Cash Flow'!A285)</f>
        <v>751</v>
      </c>
      <c r="D285" s="9">
        <f t="shared" si="4"/>
        <v>15688</v>
      </c>
    </row>
    <row r="286" spans="1:4">
      <c r="A286" s="7">
        <v>46307</v>
      </c>
      <c r="B286" s="8">
        <f>SUMIFS(Income!$G$2:$G$121,Income!$B$2:$B$121,'Cash Flow'!A286)</f>
        <v>0</v>
      </c>
      <c r="C286" s="8">
        <f>SUMIFS(Expenses!$H$2:$H$121,Expenses!$B$2:$B$121,'Cash Flow'!A286)</f>
        <v>0</v>
      </c>
      <c r="D286" s="9">
        <f t="shared" si="4"/>
        <v>15688</v>
      </c>
    </row>
    <row r="287" spans="1:4">
      <c r="A287" s="7">
        <v>46308</v>
      </c>
      <c r="B287" s="8">
        <f>SUMIFS(Income!$G$2:$G$121,Income!$B$2:$B$121,'Cash Flow'!A287)</f>
        <v>392</v>
      </c>
      <c r="C287" s="8">
        <f>SUMIFS(Expenses!$H$2:$H$121,Expenses!$B$2:$B$121,'Cash Flow'!A287)</f>
        <v>0</v>
      </c>
      <c r="D287" s="9">
        <f t="shared" si="4"/>
        <v>16080</v>
      </c>
    </row>
    <row r="288" spans="1:4">
      <c r="A288" s="7">
        <v>46309</v>
      </c>
      <c r="B288" s="8">
        <f>SUMIFS(Income!$G$2:$G$121,Income!$B$2:$B$121,'Cash Flow'!A288)</f>
        <v>0</v>
      </c>
      <c r="C288" s="8">
        <f>SUMIFS(Expenses!$H$2:$H$121,Expenses!$B$2:$B$121,'Cash Flow'!A288)</f>
        <v>1865</v>
      </c>
      <c r="D288" s="9">
        <f t="shared" si="4"/>
        <v>14215</v>
      </c>
    </row>
    <row r="289" spans="1:4">
      <c r="A289" s="7">
        <v>46310</v>
      </c>
      <c r="B289" s="8">
        <f>SUMIFS(Income!$G$2:$G$121,Income!$B$2:$B$121,'Cash Flow'!A289)</f>
        <v>0</v>
      </c>
      <c r="C289" s="8">
        <f>SUMIFS(Expenses!$H$2:$H$121,Expenses!$B$2:$B$121,'Cash Flow'!A289)</f>
        <v>0</v>
      </c>
      <c r="D289" s="9">
        <f t="shared" si="4"/>
        <v>14215</v>
      </c>
    </row>
    <row r="290" spans="1:4">
      <c r="A290" s="7">
        <v>46311</v>
      </c>
      <c r="B290" s="8">
        <f>SUMIFS(Income!$G$2:$G$121,Income!$B$2:$B$121,'Cash Flow'!A290)</f>
        <v>434</v>
      </c>
      <c r="C290" s="8">
        <f>SUMIFS(Expenses!$H$2:$H$121,Expenses!$B$2:$B$121,'Cash Flow'!A290)</f>
        <v>0</v>
      </c>
      <c r="D290" s="9">
        <f t="shared" si="4"/>
        <v>14649</v>
      </c>
    </row>
    <row r="291" spans="1:4">
      <c r="A291" s="7">
        <v>46312</v>
      </c>
      <c r="B291" s="8">
        <f>SUMIFS(Income!$G$2:$G$121,Income!$B$2:$B$121,'Cash Flow'!A291)</f>
        <v>0</v>
      </c>
      <c r="C291" s="8">
        <f>SUMIFS(Expenses!$H$2:$H$121,Expenses!$B$2:$B$121,'Cash Flow'!A291)</f>
        <v>653</v>
      </c>
      <c r="D291" s="9">
        <f t="shared" si="4"/>
        <v>13996</v>
      </c>
    </row>
    <row r="292" spans="1:4">
      <c r="A292" s="7">
        <v>46313</v>
      </c>
      <c r="B292" s="8">
        <f>SUMIFS(Income!$G$2:$G$121,Income!$B$2:$B$121,'Cash Flow'!A292)</f>
        <v>0</v>
      </c>
      <c r="C292" s="8">
        <f>SUMIFS(Expenses!$H$2:$H$121,Expenses!$B$2:$B$121,'Cash Flow'!A292)</f>
        <v>0</v>
      </c>
      <c r="D292" s="9">
        <f t="shared" si="4"/>
        <v>13996</v>
      </c>
    </row>
    <row r="293" spans="1:4">
      <c r="A293" s="7">
        <v>46314</v>
      </c>
      <c r="B293" s="8">
        <f>SUMIFS(Income!$G$2:$G$121,Income!$B$2:$B$121,'Cash Flow'!A293)</f>
        <v>1031</v>
      </c>
      <c r="C293" s="8">
        <f>SUMIFS(Expenses!$H$2:$H$121,Expenses!$B$2:$B$121,'Cash Flow'!A293)</f>
        <v>0</v>
      </c>
      <c r="D293" s="9">
        <f t="shared" si="4"/>
        <v>15027</v>
      </c>
    </row>
    <row r="294" spans="1:4">
      <c r="A294" s="7">
        <v>46315</v>
      </c>
      <c r="B294" s="8">
        <f>SUMIFS(Income!$G$2:$G$121,Income!$B$2:$B$121,'Cash Flow'!A294)</f>
        <v>0</v>
      </c>
      <c r="C294" s="8">
        <f>SUMIFS(Expenses!$H$2:$H$121,Expenses!$B$2:$B$121,'Cash Flow'!A294)</f>
        <v>379</v>
      </c>
      <c r="D294" s="9">
        <f t="shared" si="4"/>
        <v>14648</v>
      </c>
    </row>
    <row r="295" spans="1:4">
      <c r="A295" s="7">
        <v>46316</v>
      </c>
      <c r="B295" s="8">
        <f>SUMIFS(Income!$G$2:$G$121,Income!$B$2:$B$121,'Cash Flow'!A295)</f>
        <v>0</v>
      </c>
      <c r="C295" s="8">
        <f>SUMIFS(Expenses!$H$2:$H$121,Expenses!$B$2:$B$121,'Cash Flow'!A295)</f>
        <v>0</v>
      </c>
      <c r="D295" s="9">
        <f t="shared" si="4"/>
        <v>14648</v>
      </c>
    </row>
    <row r="296" spans="1:4">
      <c r="A296" s="7">
        <v>46317</v>
      </c>
      <c r="B296" s="8">
        <f>SUMIFS(Income!$G$2:$G$121,Income!$B$2:$B$121,'Cash Flow'!A296)</f>
        <v>5732</v>
      </c>
      <c r="C296" s="8">
        <f>SUMIFS(Expenses!$H$2:$H$121,Expenses!$B$2:$B$121,'Cash Flow'!A296)</f>
        <v>0</v>
      </c>
      <c r="D296" s="9">
        <f t="shared" si="4"/>
        <v>20380</v>
      </c>
    </row>
    <row r="297" spans="1:4">
      <c r="A297" s="7">
        <v>46318</v>
      </c>
      <c r="B297" s="8">
        <f>SUMIFS(Income!$G$2:$G$121,Income!$B$2:$B$121,'Cash Flow'!A297)</f>
        <v>0</v>
      </c>
      <c r="C297" s="8">
        <f>SUMIFS(Expenses!$H$2:$H$121,Expenses!$B$2:$B$121,'Cash Flow'!A297)</f>
        <v>1492</v>
      </c>
      <c r="D297" s="9">
        <f t="shared" si="4"/>
        <v>18888</v>
      </c>
    </row>
    <row r="298" spans="1:4">
      <c r="A298" s="7">
        <v>46319</v>
      </c>
      <c r="B298" s="8">
        <f>SUMIFS(Income!$G$2:$G$121,Income!$B$2:$B$121,'Cash Flow'!A298)</f>
        <v>0</v>
      </c>
      <c r="C298" s="8">
        <f>SUMIFS(Expenses!$H$2:$H$121,Expenses!$B$2:$B$121,'Cash Flow'!A298)</f>
        <v>0</v>
      </c>
      <c r="D298" s="9">
        <f t="shared" si="4"/>
        <v>18888</v>
      </c>
    </row>
    <row r="299" spans="1:4">
      <c r="A299" s="7">
        <v>46320</v>
      </c>
      <c r="B299" s="8">
        <f>SUMIFS(Income!$G$2:$G$121,Income!$B$2:$B$121,'Cash Flow'!A299)</f>
        <v>1108</v>
      </c>
      <c r="C299" s="8">
        <f>SUMIFS(Expenses!$H$2:$H$121,Expenses!$B$2:$B$121,'Cash Flow'!A299)</f>
        <v>0</v>
      </c>
      <c r="D299" s="9">
        <f t="shared" si="4"/>
        <v>19996</v>
      </c>
    </row>
    <row r="300" spans="1:4">
      <c r="A300" s="7">
        <v>46321</v>
      </c>
      <c r="B300" s="8">
        <f>SUMIFS(Income!$G$2:$G$121,Income!$B$2:$B$121,'Cash Flow'!A300)</f>
        <v>0</v>
      </c>
      <c r="C300" s="8">
        <f>SUMIFS(Expenses!$H$2:$H$121,Expenses!$B$2:$B$121,'Cash Flow'!A300)</f>
        <v>326</v>
      </c>
      <c r="D300" s="9">
        <f t="shared" si="4"/>
        <v>19670</v>
      </c>
    </row>
    <row r="301" spans="1:4">
      <c r="A301" s="7">
        <v>46322</v>
      </c>
      <c r="B301" s="8">
        <f>SUMIFS(Income!$G$2:$G$121,Income!$B$2:$B$121,'Cash Flow'!A301)</f>
        <v>0</v>
      </c>
      <c r="C301" s="8">
        <f>SUMIFS(Expenses!$H$2:$H$121,Expenses!$B$2:$B$121,'Cash Flow'!A301)</f>
        <v>0</v>
      </c>
      <c r="D301" s="9">
        <f t="shared" si="4"/>
        <v>19670</v>
      </c>
    </row>
    <row r="302" spans="1:4">
      <c r="A302" s="7">
        <v>46323</v>
      </c>
      <c r="B302" s="8">
        <f>SUMIFS(Income!$G$2:$G$121,Income!$B$2:$B$121,'Cash Flow'!A302)</f>
        <v>3114</v>
      </c>
      <c r="C302" s="8">
        <f>SUMIFS(Expenses!$H$2:$H$121,Expenses!$B$2:$B$121,'Cash Flow'!A302)</f>
        <v>0</v>
      </c>
      <c r="D302" s="9">
        <f t="shared" si="4"/>
        <v>22784</v>
      </c>
    </row>
    <row r="303" spans="1:4">
      <c r="A303" s="7">
        <v>46324</v>
      </c>
      <c r="B303" s="8">
        <f>SUMIFS(Income!$G$2:$G$121,Income!$B$2:$B$121,'Cash Flow'!A303)</f>
        <v>0</v>
      </c>
      <c r="C303" s="8">
        <f>SUMIFS(Expenses!$H$2:$H$121,Expenses!$B$2:$B$121,'Cash Flow'!A303)</f>
        <v>1008</v>
      </c>
      <c r="D303" s="9">
        <f t="shared" si="4"/>
        <v>21776</v>
      </c>
    </row>
    <row r="304" spans="1:4">
      <c r="A304" s="7">
        <v>46325</v>
      </c>
      <c r="B304" s="8">
        <f>SUMIFS(Income!$G$2:$G$121,Income!$B$2:$B$121,'Cash Flow'!A304)</f>
        <v>0</v>
      </c>
      <c r="C304" s="8">
        <f>SUMIFS(Expenses!$H$2:$H$121,Expenses!$B$2:$B$121,'Cash Flow'!A304)</f>
        <v>0</v>
      </c>
      <c r="D304" s="9">
        <f t="shared" si="4"/>
        <v>21776</v>
      </c>
    </row>
    <row r="305" spans="1:4">
      <c r="A305" s="7">
        <v>46326</v>
      </c>
      <c r="B305" s="8">
        <f>SUMIFS(Income!$G$2:$G$121,Income!$B$2:$B$121,'Cash Flow'!A305)</f>
        <v>680</v>
      </c>
      <c r="C305" s="8">
        <f>SUMIFS(Expenses!$H$2:$H$121,Expenses!$B$2:$B$121,'Cash Flow'!A305)</f>
        <v>0</v>
      </c>
      <c r="D305" s="9">
        <f t="shared" si="4"/>
        <v>22456</v>
      </c>
    </row>
    <row r="306" spans="1:4">
      <c r="A306" s="7">
        <v>46327</v>
      </c>
      <c r="B306" s="8">
        <f>SUMIFS(Income!$G$2:$G$121,Income!$B$2:$B$121,'Cash Flow'!A306)</f>
        <v>0</v>
      </c>
      <c r="C306" s="8">
        <f>SUMIFS(Expenses!$H$2:$H$121,Expenses!$B$2:$B$121,'Cash Flow'!A306)</f>
        <v>345</v>
      </c>
      <c r="D306" s="9">
        <f t="shared" si="4"/>
        <v>22111</v>
      </c>
    </row>
    <row r="307" spans="1:4">
      <c r="A307" s="7">
        <v>46328</v>
      </c>
      <c r="B307" s="8">
        <f>SUMIFS(Income!$G$2:$G$121,Income!$B$2:$B$121,'Cash Flow'!A307)</f>
        <v>0</v>
      </c>
      <c r="C307" s="8">
        <f>SUMIFS(Expenses!$H$2:$H$121,Expenses!$B$2:$B$121,'Cash Flow'!A307)</f>
        <v>0</v>
      </c>
      <c r="D307" s="9">
        <f t="shared" si="4"/>
        <v>22111</v>
      </c>
    </row>
    <row r="308" spans="1:4">
      <c r="A308" s="7">
        <v>46329</v>
      </c>
      <c r="B308" s="8">
        <f>SUMIFS(Income!$G$2:$G$121,Income!$B$2:$B$121,'Cash Flow'!A308)</f>
        <v>144</v>
      </c>
      <c r="C308" s="8">
        <f>SUMIFS(Expenses!$H$2:$H$121,Expenses!$B$2:$B$121,'Cash Flow'!A308)</f>
        <v>0</v>
      </c>
      <c r="D308" s="9">
        <f t="shared" si="4"/>
        <v>22255</v>
      </c>
    </row>
    <row r="309" spans="1:4">
      <c r="A309" s="7">
        <v>46330</v>
      </c>
      <c r="B309" s="8">
        <f>SUMIFS(Income!$G$2:$G$121,Income!$B$2:$B$121,'Cash Flow'!A309)</f>
        <v>0</v>
      </c>
      <c r="C309" s="8">
        <f>SUMIFS(Expenses!$H$2:$H$121,Expenses!$B$2:$B$121,'Cash Flow'!A309)</f>
        <v>882</v>
      </c>
      <c r="D309" s="9">
        <f t="shared" si="4"/>
        <v>21373</v>
      </c>
    </row>
    <row r="310" spans="1:4">
      <c r="A310" s="7">
        <v>46331</v>
      </c>
      <c r="B310" s="8">
        <f>SUMIFS(Income!$G$2:$G$121,Income!$B$2:$B$121,'Cash Flow'!A310)</f>
        <v>0</v>
      </c>
      <c r="C310" s="8">
        <f>SUMIFS(Expenses!$H$2:$H$121,Expenses!$B$2:$B$121,'Cash Flow'!A310)</f>
        <v>0</v>
      </c>
      <c r="D310" s="9">
        <f t="shared" si="4"/>
        <v>21373</v>
      </c>
    </row>
    <row r="311" spans="1:4">
      <c r="A311" s="7">
        <v>46332</v>
      </c>
      <c r="B311" s="8">
        <f>SUMIFS(Income!$G$2:$G$121,Income!$B$2:$B$121,'Cash Flow'!A311)</f>
        <v>99</v>
      </c>
      <c r="C311" s="8">
        <f>SUMIFS(Expenses!$H$2:$H$121,Expenses!$B$2:$B$121,'Cash Flow'!A311)</f>
        <v>0</v>
      </c>
      <c r="D311" s="9">
        <f t="shared" si="4"/>
        <v>21472</v>
      </c>
    </row>
    <row r="312" spans="1:4">
      <c r="A312" s="7">
        <v>46333</v>
      </c>
      <c r="B312" s="8">
        <f>SUMIFS(Income!$G$2:$G$121,Income!$B$2:$B$121,'Cash Flow'!A312)</f>
        <v>0</v>
      </c>
      <c r="C312" s="8">
        <f>SUMIFS(Expenses!$H$2:$H$121,Expenses!$B$2:$B$121,'Cash Flow'!A312)</f>
        <v>506</v>
      </c>
      <c r="D312" s="9">
        <f t="shared" si="4"/>
        <v>20966</v>
      </c>
    </row>
    <row r="313" spans="1:4">
      <c r="A313" s="7">
        <v>46334</v>
      </c>
      <c r="B313" s="8">
        <f>SUMIFS(Income!$G$2:$G$121,Income!$B$2:$B$121,'Cash Flow'!A313)</f>
        <v>0</v>
      </c>
      <c r="C313" s="8">
        <f>SUMIFS(Expenses!$H$2:$H$121,Expenses!$B$2:$B$121,'Cash Flow'!A313)</f>
        <v>0</v>
      </c>
      <c r="D313" s="9">
        <f t="shared" si="4"/>
        <v>20966</v>
      </c>
    </row>
    <row r="314" spans="1:4">
      <c r="A314" s="7">
        <v>46335</v>
      </c>
      <c r="B314" s="8">
        <f>SUMIFS(Income!$G$2:$G$121,Income!$B$2:$B$121,'Cash Flow'!A314)</f>
        <v>988</v>
      </c>
      <c r="C314" s="8">
        <f>SUMIFS(Expenses!$H$2:$H$121,Expenses!$B$2:$B$121,'Cash Flow'!A314)</f>
        <v>0</v>
      </c>
      <c r="D314" s="9">
        <f t="shared" si="4"/>
        <v>21954</v>
      </c>
    </row>
    <row r="315" spans="1:4">
      <c r="A315" s="7">
        <v>46336</v>
      </c>
      <c r="B315" s="8">
        <f>SUMIFS(Income!$G$2:$G$121,Income!$B$2:$B$121,'Cash Flow'!A315)</f>
        <v>0</v>
      </c>
      <c r="C315" s="8">
        <f>SUMIFS(Expenses!$H$2:$H$121,Expenses!$B$2:$B$121,'Cash Flow'!A315)</f>
        <v>220</v>
      </c>
      <c r="D315" s="9">
        <f t="shared" si="4"/>
        <v>21734</v>
      </c>
    </row>
    <row r="316" spans="1:4">
      <c r="A316" s="7">
        <v>46337</v>
      </c>
      <c r="B316" s="8">
        <f>SUMIFS(Income!$G$2:$G$121,Income!$B$2:$B$121,'Cash Flow'!A316)</f>
        <v>0</v>
      </c>
      <c r="C316" s="8">
        <f>SUMIFS(Expenses!$H$2:$H$121,Expenses!$B$2:$B$121,'Cash Flow'!A316)</f>
        <v>0</v>
      </c>
      <c r="D316" s="9">
        <f t="shared" si="4"/>
        <v>21734</v>
      </c>
    </row>
    <row r="317" spans="1:4">
      <c r="A317" s="7">
        <v>46338</v>
      </c>
      <c r="B317" s="8">
        <f>SUMIFS(Income!$G$2:$G$121,Income!$B$2:$B$121,'Cash Flow'!A317)</f>
        <v>3671</v>
      </c>
      <c r="C317" s="8">
        <f>SUMIFS(Expenses!$H$2:$H$121,Expenses!$B$2:$B$121,'Cash Flow'!A317)</f>
        <v>0</v>
      </c>
      <c r="D317" s="9">
        <f t="shared" si="4"/>
        <v>25405</v>
      </c>
    </row>
    <row r="318" spans="1:4">
      <c r="A318" s="7">
        <v>46339</v>
      </c>
      <c r="B318" s="8">
        <f>SUMIFS(Income!$G$2:$G$121,Income!$B$2:$B$121,'Cash Flow'!A318)</f>
        <v>0</v>
      </c>
      <c r="C318" s="8">
        <f>SUMIFS(Expenses!$H$2:$H$121,Expenses!$B$2:$B$121,'Cash Flow'!A318)</f>
        <v>289</v>
      </c>
      <c r="D318" s="9">
        <f t="shared" si="4"/>
        <v>25116</v>
      </c>
    </row>
    <row r="319" spans="1:4">
      <c r="A319" s="7">
        <v>46340</v>
      </c>
      <c r="B319" s="8">
        <f>SUMIFS(Income!$G$2:$G$121,Income!$B$2:$B$121,'Cash Flow'!A319)</f>
        <v>0</v>
      </c>
      <c r="C319" s="8">
        <f>SUMIFS(Expenses!$H$2:$H$121,Expenses!$B$2:$B$121,'Cash Flow'!A319)</f>
        <v>0</v>
      </c>
      <c r="D319" s="9">
        <f t="shared" si="4"/>
        <v>25116</v>
      </c>
    </row>
    <row r="320" spans="1:4">
      <c r="A320" s="7">
        <v>46341</v>
      </c>
      <c r="B320" s="8">
        <f>SUMIFS(Income!$G$2:$G$121,Income!$B$2:$B$121,'Cash Flow'!A320)</f>
        <v>366</v>
      </c>
      <c r="C320" s="8">
        <f>SUMIFS(Expenses!$H$2:$H$121,Expenses!$B$2:$B$121,'Cash Flow'!A320)</f>
        <v>0</v>
      </c>
      <c r="D320" s="9">
        <f t="shared" si="4"/>
        <v>25482</v>
      </c>
    </row>
    <row r="321" spans="1:4">
      <c r="A321" s="7">
        <v>46342</v>
      </c>
      <c r="B321" s="8">
        <f>SUMIFS(Income!$G$2:$G$121,Income!$B$2:$B$121,'Cash Flow'!A321)</f>
        <v>0</v>
      </c>
      <c r="C321" s="8">
        <f>SUMIFS(Expenses!$H$2:$H$121,Expenses!$B$2:$B$121,'Cash Flow'!A321)</f>
        <v>336</v>
      </c>
      <c r="D321" s="9">
        <f t="shared" si="4"/>
        <v>25146</v>
      </c>
    </row>
    <row r="322" spans="1:4">
      <c r="A322" s="7">
        <v>46343</v>
      </c>
      <c r="B322" s="8">
        <f>SUMIFS(Income!$G$2:$G$121,Income!$B$2:$B$121,'Cash Flow'!A322)</f>
        <v>0</v>
      </c>
      <c r="C322" s="8">
        <f>SUMIFS(Expenses!$H$2:$H$121,Expenses!$B$2:$B$121,'Cash Flow'!A322)</f>
        <v>0</v>
      </c>
      <c r="D322" s="9">
        <f t="shared" si="4"/>
        <v>25146</v>
      </c>
    </row>
    <row r="323" spans="1:4">
      <c r="A323" s="7">
        <v>46344</v>
      </c>
      <c r="B323" s="8">
        <f>SUMIFS(Income!$G$2:$G$121,Income!$B$2:$B$121,'Cash Flow'!A323)</f>
        <v>213</v>
      </c>
      <c r="C323" s="8">
        <f>SUMIFS(Expenses!$H$2:$H$121,Expenses!$B$2:$B$121,'Cash Flow'!A323)</f>
        <v>0</v>
      </c>
      <c r="D323" s="9">
        <f t="shared" si="4"/>
        <v>25359</v>
      </c>
    </row>
    <row r="324" spans="1:4">
      <c r="A324" s="7">
        <v>46345</v>
      </c>
      <c r="B324" s="8">
        <f>SUMIFS(Income!$G$2:$G$121,Income!$B$2:$B$121,'Cash Flow'!A324)</f>
        <v>0</v>
      </c>
      <c r="C324" s="8">
        <f>SUMIFS(Expenses!$H$2:$H$121,Expenses!$B$2:$B$121,'Cash Flow'!A324)</f>
        <v>380</v>
      </c>
      <c r="D324" s="9">
        <f t="shared" si="4"/>
        <v>24979</v>
      </c>
    </row>
    <row r="325" spans="1:4">
      <c r="A325" s="7">
        <v>46346</v>
      </c>
      <c r="B325" s="8">
        <f>SUMIFS(Income!$G$2:$G$121,Income!$B$2:$B$121,'Cash Flow'!A325)</f>
        <v>0</v>
      </c>
      <c r="C325" s="8">
        <f>SUMIFS(Expenses!$H$2:$H$121,Expenses!$B$2:$B$121,'Cash Flow'!A325)</f>
        <v>0</v>
      </c>
      <c r="D325" s="9">
        <f t="shared" ref="D325:D366" si="5">D324+B325-C325</f>
        <v>24979</v>
      </c>
    </row>
    <row r="326" spans="1:4">
      <c r="A326" s="7">
        <v>46347</v>
      </c>
      <c r="B326" s="8">
        <f>SUMIFS(Income!$G$2:$G$121,Income!$B$2:$B$121,'Cash Flow'!A326)</f>
        <v>642</v>
      </c>
      <c r="C326" s="8">
        <f>SUMIFS(Expenses!$H$2:$H$121,Expenses!$B$2:$B$121,'Cash Flow'!A326)</f>
        <v>0</v>
      </c>
      <c r="D326" s="9">
        <f t="shared" si="5"/>
        <v>25621</v>
      </c>
    </row>
    <row r="327" spans="1:4">
      <c r="A327" s="7">
        <v>46348</v>
      </c>
      <c r="B327" s="8">
        <f>SUMIFS(Income!$G$2:$G$121,Income!$B$2:$B$121,'Cash Flow'!A327)</f>
        <v>0</v>
      </c>
      <c r="C327" s="8">
        <f>SUMIFS(Expenses!$H$2:$H$121,Expenses!$B$2:$B$121,'Cash Flow'!A327)</f>
        <v>473</v>
      </c>
      <c r="D327" s="9">
        <f t="shared" si="5"/>
        <v>25148</v>
      </c>
    </row>
    <row r="328" spans="1:4">
      <c r="A328" s="7">
        <v>46349</v>
      </c>
      <c r="B328" s="8">
        <f>SUMIFS(Income!$G$2:$G$121,Income!$B$2:$B$121,'Cash Flow'!A328)</f>
        <v>0</v>
      </c>
      <c r="C328" s="8">
        <f>SUMIFS(Expenses!$H$2:$H$121,Expenses!$B$2:$B$121,'Cash Flow'!A328)</f>
        <v>0</v>
      </c>
      <c r="D328" s="9">
        <f t="shared" si="5"/>
        <v>25148</v>
      </c>
    </row>
    <row r="329" spans="1:4">
      <c r="A329" s="7">
        <v>46350</v>
      </c>
      <c r="B329" s="8">
        <f>SUMIFS(Income!$G$2:$G$121,Income!$B$2:$B$121,'Cash Flow'!A329)</f>
        <v>248</v>
      </c>
      <c r="C329" s="8">
        <f>SUMIFS(Expenses!$H$2:$H$121,Expenses!$B$2:$B$121,'Cash Flow'!A329)</f>
        <v>0</v>
      </c>
      <c r="D329" s="9">
        <f t="shared" si="5"/>
        <v>25396</v>
      </c>
    </row>
    <row r="330" spans="1:4">
      <c r="A330" s="7">
        <v>46351</v>
      </c>
      <c r="B330" s="8">
        <f>SUMIFS(Income!$G$2:$G$121,Income!$B$2:$B$121,'Cash Flow'!A330)</f>
        <v>0</v>
      </c>
      <c r="C330" s="8">
        <f>SUMIFS(Expenses!$H$2:$H$121,Expenses!$B$2:$B$121,'Cash Flow'!A330)</f>
        <v>1375</v>
      </c>
      <c r="D330" s="9">
        <f t="shared" si="5"/>
        <v>24021</v>
      </c>
    </row>
    <row r="331" spans="1:4">
      <c r="A331" s="7">
        <v>46352</v>
      </c>
      <c r="B331" s="8">
        <f>SUMIFS(Income!$G$2:$G$121,Income!$B$2:$B$121,'Cash Flow'!A331)</f>
        <v>0</v>
      </c>
      <c r="C331" s="8">
        <f>SUMIFS(Expenses!$H$2:$H$121,Expenses!$B$2:$B$121,'Cash Flow'!A331)</f>
        <v>0</v>
      </c>
      <c r="D331" s="9">
        <f t="shared" si="5"/>
        <v>24021</v>
      </c>
    </row>
    <row r="332" spans="1:4">
      <c r="A332" s="7">
        <v>46353</v>
      </c>
      <c r="B332" s="8">
        <f>SUMIFS(Income!$G$2:$G$121,Income!$B$2:$B$121,'Cash Flow'!A332)</f>
        <v>492</v>
      </c>
      <c r="C332" s="8">
        <f>SUMIFS(Expenses!$H$2:$H$121,Expenses!$B$2:$B$121,'Cash Flow'!A332)</f>
        <v>0</v>
      </c>
      <c r="D332" s="9">
        <f t="shared" si="5"/>
        <v>24513</v>
      </c>
    </row>
    <row r="333" spans="1:4">
      <c r="A333" s="7">
        <v>46354</v>
      </c>
      <c r="B333" s="8">
        <f>SUMIFS(Income!$G$2:$G$121,Income!$B$2:$B$121,'Cash Flow'!A333)</f>
        <v>0</v>
      </c>
      <c r="C333" s="8">
        <f>SUMIFS(Expenses!$H$2:$H$121,Expenses!$B$2:$B$121,'Cash Flow'!A333)</f>
        <v>3039</v>
      </c>
      <c r="D333" s="9">
        <f t="shared" si="5"/>
        <v>21474</v>
      </c>
    </row>
    <row r="334" spans="1:4">
      <c r="A334" s="7">
        <v>46355</v>
      </c>
      <c r="B334" s="8">
        <f>SUMIFS(Income!$G$2:$G$121,Income!$B$2:$B$121,'Cash Flow'!A334)</f>
        <v>0</v>
      </c>
      <c r="C334" s="8">
        <f>SUMIFS(Expenses!$H$2:$H$121,Expenses!$B$2:$B$121,'Cash Flow'!A334)</f>
        <v>0</v>
      </c>
      <c r="D334" s="9">
        <f t="shared" si="5"/>
        <v>21474</v>
      </c>
    </row>
    <row r="335" spans="1:4">
      <c r="A335" s="7">
        <v>46356</v>
      </c>
      <c r="B335" s="8">
        <f>SUMIFS(Income!$G$2:$G$121,Income!$B$2:$B$121,'Cash Flow'!A335)</f>
        <v>820</v>
      </c>
      <c r="C335" s="8">
        <f>SUMIFS(Expenses!$H$2:$H$121,Expenses!$B$2:$B$121,'Cash Flow'!A335)</f>
        <v>0</v>
      </c>
      <c r="D335" s="9">
        <f t="shared" si="5"/>
        <v>22294</v>
      </c>
    </row>
    <row r="336" spans="1:4">
      <c r="A336" s="7">
        <v>46357</v>
      </c>
      <c r="B336" s="8">
        <f>SUMIFS(Income!$G$2:$G$121,Income!$B$2:$B$121,'Cash Flow'!A336)</f>
        <v>0</v>
      </c>
      <c r="C336" s="8">
        <f>SUMIFS(Expenses!$H$2:$H$121,Expenses!$B$2:$B$121,'Cash Flow'!A336)</f>
        <v>213</v>
      </c>
      <c r="D336" s="9">
        <f t="shared" si="5"/>
        <v>22081</v>
      </c>
    </row>
    <row r="337" spans="1:4">
      <c r="A337" s="7">
        <v>46358</v>
      </c>
      <c r="B337" s="8">
        <f>SUMIFS(Income!$G$2:$G$121,Income!$B$2:$B$121,'Cash Flow'!A337)</f>
        <v>0</v>
      </c>
      <c r="C337" s="8">
        <f>SUMIFS(Expenses!$H$2:$H$121,Expenses!$B$2:$B$121,'Cash Flow'!A337)</f>
        <v>0</v>
      </c>
      <c r="D337" s="9">
        <f t="shared" si="5"/>
        <v>22081</v>
      </c>
    </row>
    <row r="338" spans="1:4">
      <c r="A338" s="7">
        <v>46359</v>
      </c>
      <c r="B338" s="8">
        <f>SUMIFS(Income!$G$2:$G$121,Income!$B$2:$B$121,'Cash Flow'!A338)</f>
        <v>519</v>
      </c>
      <c r="C338" s="8">
        <f>SUMIFS(Expenses!$H$2:$H$121,Expenses!$B$2:$B$121,'Cash Flow'!A338)</f>
        <v>0</v>
      </c>
      <c r="D338" s="9">
        <f t="shared" si="5"/>
        <v>22600</v>
      </c>
    </row>
    <row r="339" spans="1:4">
      <c r="A339" s="7">
        <v>46360</v>
      </c>
      <c r="B339" s="8">
        <f>SUMIFS(Income!$G$2:$G$121,Income!$B$2:$B$121,'Cash Flow'!A339)</f>
        <v>0</v>
      </c>
      <c r="C339" s="8">
        <f>SUMIFS(Expenses!$H$2:$H$121,Expenses!$B$2:$B$121,'Cash Flow'!A339)</f>
        <v>546</v>
      </c>
      <c r="D339" s="9">
        <f t="shared" si="5"/>
        <v>22054</v>
      </c>
    </row>
    <row r="340" spans="1:4">
      <c r="A340" s="7">
        <v>46361</v>
      </c>
      <c r="B340" s="8">
        <f>SUMIFS(Income!$G$2:$G$121,Income!$B$2:$B$121,'Cash Flow'!A340)</f>
        <v>0</v>
      </c>
      <c r="C340" s="8">
        <f>SUMIFS(Expenses!$H$2:$H$121,Expenses!$B$2:$B$121,'Cash Flow'!A340)</f>
        <v>0</v>
      </c>
      <c r="D340" s="9">
        <f t="shared" si="5"/>
        <v>22054</v>
      </c>
    </row>
    <row r="341" spans="1:4">
      <c r="A341" s="7">
        <v>46362</v>
      </c>
      <c r="B341" s="8">
        <f>SUMIFS(Income!$G$2:$G$121,Income!$B$2:$B$121,'Cash Flow'!A341)</f>
        <v>377</v>
      </c>
      <c r="C341" s="8">
        <f>SUMIFS(Expenses!$H$2:$H$121,Expenses!$B$2:$B$121,'Cash Flow'!A341)</f>
        <v>0</v>
      </c>
      <c r="D341" s="9">
        <f t="shared" si="5"/>
        <v>22431</v>
      </c>
    </row>
    <row r="342" spans="1:4">
      <c r="A342" s="7">
        <v>46363</v>
      </c>
      <c r="B342" s="8">
        <f>SUMIFS(Income!$G$2:$G$121,Income!$B$2:$B$121,'Cash Flow'!A342)</f>
        <v>0</v>
      </c>
      <c r="C342" s="8">
        <f>SUMIFS(Expenses!$H$2:$H$121,Expenses!$B$2:$B$121,'Cash Flow'!A342)</f>
        <v>1261</v>
      </c>
      <c r="D342" s="9">
        <f t="shared" si="5"/>
        <v>21170</v>
      </c>
    </row>
    <row r="343" spans="1:4">
      <c r="A343" s="7">
        <v>46364</v>
      </c>
      <c r="B343" s="8">
        <f>SUMIFS(Income!$G$2:$G$121,Income!$B$2:$B$121,'Cash Flow'!A343)</f>
        <v>0</v>
      </c>
      <c r="C343" s="8">
        <f>SUMIFS(Expenses!$H$2:$H$121,Expenses!$B$2:$B$121,'Cash Flow'!A343)</f>
        <v>0</v>
      </c>
      <c r="D343" s="9">
        <f t="shared" si="5"/>
        <v>21170</v>
      </c>
    </row>
    <row r="344" spans="1:4">
      <c r="A344" s="7">
        <v>46365</v>
      </c>
      <c r="B344" s="8">
        <f>SUMIFS(Income!$G$2:$G$121,Income!$B$2:$B$121,'Cash Flow'!A344)</f>
        <v>653</v>
      </c>
      <c r="C344" s="8">
        <f>SUMIFS(Expenses!$H$2:$H$121,Expenses!$B$2:$B$121,'Cash Flow'!A344)</f>
        <v>0</v>
      </c>
      <c r="D344" s="9">
        <f t="shared" si="5"/>
        <v>21823</v>
      </c>
    </row>
    <row r="345" spans="1:4">
      <c r="A345" s="7">
        <v>46366</v>
      </c>
      <c r="B345" s="8">
        <f>SUMIFS(Income!$G$2:$G$121,Income!$B$2:$B$121,'Cash Flow'!A345)</f>
        <v>0</v>
      </c>
      <c r="C345" s="8">
        <f>SUMIFS(Expenses!$H$2:$H$121,Expenses!$B$2:$B$121,'Cash Flow'!A345)</f>
        <v>293</v>
      </c>
      <c r="D345" s="9">
        <f t="shared" si="5"/>
        <v>21530</v>
      </c>
    </row>
    <row r="346" spans="1:4">
      <c r="A346" s="7">
        <v>46367</v>
      </c>
      <c r="B346" s="8">
        <f>SUMIFS(Income!$G$2:$G$121,Income!$B$2:$B$121,'Cash Flow'!A346)</f>
        <v>0</v>
      </c>
      <c r="C346" s="8">
        <f>SUMIFS(Expenses!$H$2:$H$121,Expenses!$B$2:$B$121,'Cash Flow'!A346)</f>
        <v>0</v>
      </c>
      <c r="D346" s="9">
        <f t="shared" si="5"/>
        <v>21530</v>
      </c>
    </row>
    <row r="347" spans="1:4">
      <c r="A347" s="7">
        <v>46368</v>
      </c>
      <c r="B347" s="8">
        <f>SUMIFS(Income!$G$2:$G$121,Income!$B$2:$B$121,'Cash Flow'!A347)</f>
        <v>5707</v>
      </c>
      <c r="C347" s="8">
        <f>SUMIFS(Expenses!$H$2:$H$121,Expenses!$B$2:$B$121,'Cash Flow'!A347)</f>
        <v>0</v>
      </c>
      <c r="D347" s="9">
        <f t="shared" si="5"/>
        <v>27237</v>
      </c>
    </row>
    <row r="348" spans="1:4">
      <c r="A348" s="7">
        <v>46369</v>
      </c>
      <c r="B348" s="8">
        <f>SUMIFS(Income!$G$2:$G$121,Income!$B$2:$B$121,'Cash Flow'!A348)</f>
        <v>0</v>
      </c>
      <c r="C348" s="8">
        <f>SUMIFS(Expenses!$H$2:$H$121,Expenses!$B$2:$B$121,'Cash Flow'!A348)</f>
        <v>4409</v>
      </c>
      <c r="D348" s="9">
        <f t="shared" si="5"/>
        <v>22828</v>
      </c>
    </row>
    <row r="349" spans="1:4">
      <c r="A349" s="7">
        <v>46370</v>
      </c>
      <c r="B349" s="8">
        <f>SUMIFS(Income!$G$2:$G$121,Income!$B$2:$B$121,'Cash Flow'!A349)</f>
        <v>0</v>
      </c>
      <c r="C349" s="8">
        <f>SUMIFS(Expenses!$H$2:$H$121,Expenses!$B$2:$B$121,'Cash Flow'!A349)</f>
        <v>0</v>
      </c>
      <c r="D349" s="9">
        <f t="shared" si="5"/>
        <v>22828</v>
      </c>
    </row>
    <row r="350" spans="1:4">
      <c r="A350" s="7">
        <v>46371</v>
      </c>
      <c r="B350" s="8">
        <f>SUMIFS(Income!$G$2:$G$121,Income!$B$2:$B$121,'Cash Flow'!A350)</f>
        <v>831</v>
      </c>
      <c r="C350" s="8">
        <f>SUMIFS(Expenses!$H$2:$H$121,Expenses!$B$2:$B$121,'Cash Flow'!A350)</f>
        <v>0</v>
      </c>
      <c r="D350" s="9">
        <f t="shared" si="5"/>
        <v>23659</v>
      </c>
    </row>
    <row r="351" spans="1:4">
      <c r="A351" s="7">
        <v>46372</v>
      </c>
      <c r="B351" s="8">
        <f>SUMIFS(Income!$G$2:$G$121,Income!$B$2:$B$121,'Cash Flow'!A351)</f>
        <v>0</v>
      </c>
      <c r="C351" s="8">
        <f>SUMIFS(Expenses!$H$2:$H$121,Expenses!$B$2:$B$121,'Cash Flow'!A351)</f>
        <v>449</v>
      </c>
      <c r="D351" s="9">
        <f t="shared" si="5"/>
        <v>23210</v>
      </c>
    </row>
    <row r="352" spans="1:4">
      <c r="A352" s="7">
        <v>46373</v>
      </c>
      <c r="B352" s="8">
        <f>SUMIFS(Income!$G$2:$G$121,Income!$B$2:$B$121,'Cash Flow'!A352)</f>
        <v>0</v>
      </c>
      <c r="C352" s="8">
        <f>SUMIFS(Expenses!$H$2:$H$121,Expenses!$B$2:$B$121,'Cash Flow'!A352)</f>
        <v>0</v>
      </c>
      <c r="D352" s="9">
        <f t="shared" si="5"/>
        <v>23210</v>
      </c>
    </row>
    <row r="353" spans="1:4">
      <c r="A353" s="7">
        <v>46374</v>
      </c>
      <c r="B353" s="8">
        <f>SUMIFS(Income!$G$2:$G$121,Income!$B$2:$B$121,'Cash Flow'!A353)</f>
        <v>4577</v>
      </c>
      <c r="C353" s="8">
        <f>SUMIFS(Expenses!$H$2:$H$121,Expenses!$B$2:$B$121,'Cash Flow'!A353)</f>
        <v>0</v>
      </c>
      <c r="D353" s="9">
        <f t="shared" si="5"/>
        <v>27787</v>
      </c>
    </row>
    <row r="354" spans="1:4">
      <c r="A354" s="7">
        <v>46375</v>
      </c>
      <c r="B354" s="8">
        <f>SUMIFS(Income!$G$2:$G$121,Income!$B$2:$B$121,'Cash Flow'!A354)</f>
        <v>0</v>
      </c>
      <c r="C354" s="8">
        <f>SUMIFS(Expenses!$H$2:$H$121,Expenses!$B$2:$B$121,'Cash Flow'!A354)</f>
        <v>782</v>
      </c>
      <c r="D354" s="9">
        <f t="shared" si="5"/>
        <v>27005</v>
      </c>
    </row>
    <row r="355" spans="1:4">
      <c r="A355" s="7">
        <v>46376</v>
      </c>
      <c r="B355" s="8">
        <f>SUMIFS(Income!$G$2:$G$121,Income!$B$2:$B$121,'Cash Flow'!A355)</f>
        <v>0</v>
      </c>
      <c r="C355" s="8">
        <f>SUMIFS(Expenses!$H$2:$H$121,Expenses!$B$2:$B$121,'Cash Flow'!A355)</f>
        <v>0</v>
      </c>
      <c r="D355" s="9">
        <f t="shared" si="5"/>
        <v>27005</v>
      </c>
    </row>
    <row r="356" spans="1:4">
      <c r="A356" s="7">
        <v>46377</v>
      </c>
      <c r="B356" s="8">
        <f>SUMIFS(Income!$G$2:$G$121,Income!$B$2:$B$121,'Cash Flow'!A356)</f>
        <v>1965</v>
      </c>
      <c r="C356" s="8">
        <f>SUMIFS(Expenses!$H$2:$H$121,Expenses!$B$2:$B$121,'Cash Flow'!A356)</f>
        <v>0</v>
      </c>
      <c r="D356" s="9">
        <f t="shared" si="5"/>
        <v>28970</v>
      </c>
    </row>
    <row r="357" spans="1:4">
      <c r="A357" s="7">
        <v>46378</v>
      </c>
      <c r="B357" s="8">
        <f>SUMIFS(Income!$G$2:$G$121,Income!$B$2:$B$121,'Cash Flow'!A357)</f>
        <v>0</v>
      </c>
      <c r="C357" s="8">
        <f>SUMIFS(Expenses!$H$2:$H$121,Expenses!$B$2:$B$121,'Cash Flow'!A357)</f>
        <v>775</v>
      </c>
      <c r="D357" s="9">
        <f t="shared" si="5"/>
        <v>28195</v>
      </c>
    </row>
    <row r="358" spans="1:4">
      <c r="A358" s="7">
        <v>46379</v>
      </c>
      <c r="B358" s="8">
        <f>SUMIFS(Income!$G$2:$G$121,Income!$B$2:$B$121,'Cash Flow'!A358)</f>
        <v>0</v>
      </c>
      <c r="C358" s="8">
        <f>SUMIFS(Expenses!$H$2:$H$121,Expenses!$B$2:$B$121,'Cash Flow'!A358)</f>
        <v>0</v>
      </c>
      <c r="D358" s="9">
        <f t="shared" si="5"/>
        <v>28195</v>
      </c>
    </row>
    <row r="359" spans="1:4">
      <c r="A359" s="7">
        <v>46380</v>
      </c>
      <c r="B359" s="8">
        <f>SUMIFS(Income!$G$2:$G$121,Income!$B$2:$B$121,'Cash Flow'!A359)</f>
        <v>675</v>
      </c>
      <c r="C359" s="8">
        <f>SUMIFS(Expenses!$H$2:$H$121,Expenses!$B$2:$B$121,'Cash Flow'!A359)</f>
        <v>0</v>
      </c>
      <c r="D359" s="9">
        <f t="shared" si="5"/>
        <v>28870</v>
      </c>
    </row>
    <row r="360" spans="1:4">
      <c r="A360" s="7">
        <v>46381</v>
      </c>
      <c r="B360" s="8">
        <f>SUMIFS(Income!$G$2:$G$121,Income!$B$2:$B$121,'Cash Flow'!A360)</f>
        <v>0</v>
      </c>
      <c r="C360" s="8">
        <f>SUMIFS(Expenses!$H$2:$H$121,Expenses!$B$2:$B$121,'Cash Flow'!A360)</f>
        <v>573</v>
      </c>
      <c r="D360" s="9">
        <f t="shared" si="5"/>
        <v>28297</v>
      </c>
    </row>
    <row r="361" spans="1:4">
      <c r="A361" s="7">
        <v>46382</v>
      </c>
      <c r="B361" s="8">
        <f>SUMIFS(Income!$G$2:$G$121,Income!$B$2:$B$121,'Cash Flow'!A361)</f>
        <v>0</v>
      </c>
      <c r="C361" s="8">
        <f>SUMIFS(Expenses!$H$2:$H$121,Expenses!$B$2:$B$121,'Cash Flow'!A361)</f>
        <v>0</v>
      </c>
      <c r="D361" s="9">
        <f t="shared" si="5"/>
        <v>28297</v>
      </c>
    </row>
    <row r="362" spans="1:4">
      <c r="A362" s="7">
        <v>46383</v>
      </c>
      <c r="B362" s="8">
        <f>SUMIFS(Income!$G$2:$G$121,Income!$B$2:$B$121,'Cash Flow'!A362)</f>
        <v>0</v>
      </c>
      <c r="C362" s="8">
        <f>SUMIFS(Expenses!$H$2:$H$121,Expenses!$B$2:$B$121,'Cash Flow'!A362)</f>
        <v>0</v>
      </c>
      <c r="D362" s="9">
        <f t="shared" si="5"/>
        <v>28297</v>
      </c>
    </row>
    <row r="363" spans="1:4">
      <c r="A363" s="7">
        <v>46384</v>
      </c>
      <c r="B363" s="8">
        <f>SUMIFS(Income!$G$2:$G$121,Income!$B$2:$B$121,'Cash Flow'!A363)</f>
        <v>0</v>
      </c>
      <c r="C363" s="8">
        <f>SUMIFS(Expenses!$H$2:$H$121,Expenses!$B$2:$B$121,'Cash Flow'!A363)</f>
        <v>0</v>
      </c>
      <c r="D363" s="9">
        <f t="shared" si="5"/>
        <v>28297</v>
      </c>
    </row>
    <row r="364" spans="1:4">
      <c r="A364" s="7">
        <v>46385</v>
      </c>
      <c r="B364" s="8">
        <f>SUMIFS(Income!$G$2:$G$121,Income!$B$2:$B$121,'Cash Flow'!A364)</f>
        <v>0</v>
      </c>
      <c r="C364" s="8">
        <f>SUMIFS(Expenses!$H$2:$H$121,Expenses!$B$2:$B$121,'Cash Flow'!A364)</f>
        <v>0</v>
      </c>
      <c r="D364" s="9">
        <f t="shared" si="5"/>
        <v>28297</v>
      </c>
    </row>
    <row r="365" spans="1:4">
      <c r="A365" s="7">
        <v>46386</v>
      </c>
      <c r="B365" s="8">
        <f>SUMIFS(Income!$G$2:$G$121,Income!$B$2:$B$121,'Cash Flow'!A365)</f>
        <v>0</v>
      </c>
      <c r="C365" s="8">
        <f>SUMIFS(Expenses!$H$2:$H$121,Expenses!$B$2:$B$121,'Cash Flow'!A365)</f>
        <v>0</v>
      </c>
      <c r="D365" s="9">
        <f t="shared" si="5"/>
        <v>28297</v>
      </c>
    </row>
    <row r="366" spans="1:4">
      <c r="A366" s="7">
        <v>46387</v>
      </c>
      <c r="B366" s="8">
        <f>SUMIFS(Income!$G$2:$G$121,Income!$B$2:$B$121,'Cash Flow'!A366)</f>
        <v>0</v>
      </c>
      <c r="C366" s="8">
        <f>SUMIFS(Expenses!$H$2:$H$121,Expenses!$B$2:$B$121,'Cash Flow'!A366)</f>
        <v>0</v>
      </c>
      <c r="D366" s="9">
        <f t="shared" si="5"/>
        <v>28297</v>
      </c>
    </row>
  </sheetData>
  <conditionalFormatting sqref="B2:B366">
    <cfRule type="cellIs" dxfId="2" priority="2" operator="greaterThan">
      <formula>5000</formula>
    </cfRule>
  </conditionalFormatting>
  <conditionalFormatting sqref="C2:C366">
    <cfRule type="cellIs" dxfId="1" priority="3" operator="greaterThan">
      <formula>1000</formula>
    </cfRule>
  </conditionalFormatting>
  <conditionalFormatting sqref="D2:D366">
    <cfRule type="cellIs" dxfId="0" priority="1" operator="lessThan">
      <formula>5000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F585E-E574-4B30-9116-6B76B878C01D}">
  <dimension ref="A1:D16"/>
  <sheetViews>
    <sheetView workbookViewId="0">
      <selection activeCell="A2" sqref="A2:D2"/>
    </sheetView>
  </sheetViews>
  <sheetFormatPr defaultRowHeight="14.5"/>
  <cols>
    <col min="1" max="2" width="13.453125" bestFit="1" customWidth="1"/>
    <col min="3" max="3" width="16.1796875" bestFit="1" customWidth="1"/>
  </cols>
  <sheetData>
    <row r="1" spans="1:4">
      <c r="A1" t="s">
        <v>37</v>
      </c>
      <c r="B1" t="s">
        <v>275</v>
      </c>
      <c r="C1" t="s">
        <v>13</v>
      </c>
      <c r="D1" t="s">
        <v>45</v>
      </c>
    </row>
    <row r="2" spans="1:4">
      <c r="A2" s="22" t="s">
        <v>413</v>
      </c>
      <c r="B2" s="22" t="s">
        <v>414</v>
      </c>
      <c r="C2" s="22" t="s">
        <v>415</v>
      </c>
      <c r="D2" s="22" t="s">
        <v>221</v>
      </c>
    </row>
    <row r="3" spans="1:4">
      <c r="A3" s="10" t="s">
        <v>33</v>
      </c>
      <c r="B3" s="8" t="s">
        <v>275</v>
      </c>
      <c r="C3" s="8" t="s">
        <v>13</v>
      </c>
      <c r="D3" s="8" t="s">
        <v>45</v>
      </c>
    </row>
    <row r="4" spans="1:4">
      <c r="A4" s="10" t="s">
        <v>11</v>
      </c>
      <c r="B4" s="8" t="s">
        <v>311</v>
      </c>
      <c r="C4" s="8" t="s">
        <v>19</v>
      </c>
      <c r="D4" s="8" t="s">
        <v>63</v>
      </c>
    </row>
    <row r="5" spans="1:4">
      <c r="A5" s="10" t="s">
        <v>24</v>
      </c>
      <c r="B5" s="8" t="s">
        <v>246</v>
      </c>
      <c r="C5" s="8" t="s">
        <v>58</v>
      </c>
      <c r="D5" s="8"/>
    </row>
    <row r="6" spans="1:4">
      <c r="A6" s="10" t="s">
        <v>37</v>
      </c>
      <c r="B6" s="8" t="s">
        <v>237</v>
      </c>
      <c r="C6" s="8" t="s">
        <v>29</v>
      </c>
      <c r="D6" s="8"/>
    </row>
    <row r="7" spans="1:4">
      <c r="A7" s="10" t="s">
        <v>61</v>
      </c>
      <c r="B7" s="8" t="s">
        <v>329</v>
      </c>
      <c r="C7" s="8" t="s">
        <v>50</v>
      </c>
      <c r="D7" s="8"/>
    </row>
    <row r="8" spans="1:4">
      <c r="A8" s="10"/>
      <c r="B8" s="8" t="s">
        <v>229</v>
      </c>
      <c r="C8" s="8" t="s">
        <v>39</v>
      </c>
      <c r="D8" s="8"/>
    </row>
    <row r="9" spans="1:4">
      <c r="A9" s="8"/>
      <c r="B9" s="8" t="s">
        <v>268</v>
      </c>
      <c r="C9" s="8"/>
      <c r="D9" s="8"/>
    </row>
    <row r="10" spans="1:4">
      <c r="A10" s="10"/>
      <c r="B10" s="8" t="s">
        <v>255</v>
      </c>
      <c r="C10" s="8"/>
      <c r="D10" s="8"/>
    </row>
    <row r="11" spans="1:4">
      <c r="A11" s="8"/>
      <c r="B11" s="8" t="s">
        <v>242</v>
      </c>
      <c r="C11" s="8"/>
      <c r="D11" s="8"/>
    </row>
    <row r="12" spans="1:4">
      <c r="A12" s="8"/>
      <c r="B12" s="8" t="s">
        <v>225</v>
      </c>
      <c r="C12" s="8"/>
      <c r="D12" s="8"/>
    </row>
    <row r="13" spans="1:4">
      <c r="A13" s="8"/>
      <c r="B13" s="8" t="s">
        <v>271</v>
      </c>
      <c r="C13" s="8"/>
      <c r="D13" s="8"/>
    </row>
    <row r="14" spans="1:4">
      <c r="A14" s="8"/>
      <c r="B14" s="8" t="s">
        <v>298</v>
      </c>
      <c r="C14" s="8"/>
      <c r="D14" s="8"/>
    </row>
    <row r="15" spans="1:4">
      <c r="A15" s="8"/>
      <c r="B15" s="8" t="s">
        <v>261</v>
      </c>
      <c r="C15" s="8"/>
      <c r="D15" s="8"/>
    </row>
    <row r="16" spans="1:4">
      <c r="A16" s="8"/>
      <c r="B16" s="8" t="s">
        <v>233</v>
      </c>
      <c r="C16" s="8"/>
      <c r="D16" s="8"/>
    </row>
  </sheetData>
  <dataValidations count="4">
    <dataValidation type="list" allowBlank="1" showInputMessage="1" showErrorMessage="1" sqref="A1" xr:uid="{D5E77604-F394-4AA5-9E81-6CAC9DD0A18E}">
      <formula1>$A$3:$A$7</formula1>
    </dataValidation>
    <dataValidation type="list" allowBlank="1" showInputMessage="1" showErrorMessage="1" sqref="B1" xr:uid="{3DE7D5DF-16EA-49AB-AE10-25651A00456D}">
      <formula1>$B$3:$B$16</formula1>
    </dataValidation>
    <dataValidation type="list" allowBlank="1" showInputMessage="1" showErrorMessage="1" sqref="C1" xr:uid="{54AE7D86-7F64-4E08-874D-3ECBB4157AEB}">
      <formula1>$C$3:$C$8</formula1>
    </dataValidation>
    <dataValidation type="list" allowBlank="1" showInputMessage="1" showErrorMessage="1" sqref="D1" xr:uid="{9DB08F8E-FD0C-4DC5-802E-7AF093DB206B}">
      <formula1>$D$3:$D$4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9553F-5029-45A7-B663-D68C1AB250E5}">
  <dimension ref="A1:B21"/>
  <sheetViews>
    <sheetView workbookViewId="0">
      <pane ySplit="1" topLeftCell="A2" activePane="bottomLeft" state="frozen"/>
      <selection pane="bottomLeft" activeCell="F13" sqref="F13"/>
    </sheetView>
  </sheetViews>
  <sheetFormatPr defaultRowHeight="14.5"/>
  <cols>
    <col min="1" max="1" width="9.26953125" bestFit="1" customWidth="1"/>
    <col min="2" max="2" width="18" bestFit="1" customWidth="1"/>
  </cols>
  <sheetData>
    <row r="1" spans="1:2">
      <c r="A1" s="23" t="s">
        <v>219</v>
      </c>
      <c r="B1" s="23" t="s">
        <v>218</v>
      </c>
    </row>
    <row r="2" spans="1:2">
      <c r="A2" s="10" t="s">
        <v>416</v>
      </c>
      <c r="B2" s="8" t="s">
        <v>224</v>
      </c>
    </row>
    <row r="3" spans="1:2">
      <c r="A3" s="10" t="s">
        <v>417</v>
      </c>
      <c r="B3" s="8" t="s">
        <v>228</v>
      </c>
    </row>
    <row r="4" spans="1:2">
      <c r="A4" s="10" t="s">
        <v>418</v>
      </c>
      <c r="B4" s="8" t="s">
        <v>232</v>
      </c>
    </row>
    <row r="5" spans="1:2">
      <c r="A5" s="10" t="s">
        <v>419</v>
      </c>
      <c r="B5" s="8" t="s">
        <v>236</v>
      </c>
    </row>
    <row r="6" spans="1:2">
      <c r="A6" s="10" t="s">
        <v>420</v>
      </c>
      <c r="B6" s="8" t="s">
        <v>241</v>
      </c>
    </row>
    <row r="7" spans="1:2">
      <c r="A7" s="10" t="s">
        <v>421</v>
      </c>
      <c r="B7" s="8" t="s">
        <v>245</v>
      </c>
    </row>
    <row r="8" spans="1:2">
      <c r="A8" s="10" t="s">
        <v>422</v>
      </c>
      <c r="B8" s="8" t="s">
        <v>249</v>
      </c>
    </row>
    <row r="9" spans="1:2">
      <c r="A9" s="10" t="s">
        <v>423</v>
      </c>
      <c r="B9" s="8" t="s">
        <v>252</v>
      </c>
    </row>
    <row r="10" spans="1:2">
      <c r="A10" s="10" t="s">
        <v>424</v>
      </c>
      <c r="B10" s="8" t="s">
        <v>254</v>
      </c>
    </row>
    <row r="11" spans="1:2">
      <c r="A11" s="10" t="s">
        <v>425</v>
      </c>
      <c r="B11" s="8" t="s">
        <v>260</v>
      </c>
    </row>
    <row r="12" spans="1:2">
      <c r="A12" s="10" t="s">
        <v>426</v>
      </c>
      <c r="B12" s="8" t="s">
        <v>266</v>
      </c>
    </row>
    <row r="13" spans="1:2">
      <c r="A13" s="10" t="s">
        <v>427</v>
      </c>
      <c r="B13" s="8" t="s">
        <v>274</v>
      </c>
    </row>
    <row r="14" spans="1:2">
      <c r="A14" s="10" t="s">
        <v>428</v>
      </c>
      <c r="B14" s="8" t="s">
        <v>280</v>
      </c>
    </row>
    <row r="15" spans="1:2">
      <c r="A15" s="10" t="s">
        <v>429</v>
      </c>
      <c r="B15" s="8" t="s">
        <v>289</v>
      </c>
    </row>
    <row r="16" spans="1:2">
      <c r="A16" s="10" t="s">
        <v>430</v>
      </c>
      <c r="B16" s="8" t="s">
        <v>294</v>
      </c>
    </row>
    <row r="17" spans="1:2">
      <c r="A17" s="10" t="s">
        <v>431</v>
      </c>
      <c r="B17" s="8" t="s">
        <v>302</v>
      </c>
    </row>
    <row r="18" spans="1:2">
      <c r="A18" s="10" t="s">
        <v>432</v>
      </c>
      <c r="B18" s="8" t="s">
        <v>304</v>
      </c>
    </row>
    <row r="19" spans="1:2">
      <c r="A19" s="10" t="s">
        <v>433</v>
      </c>
      <c r="B19" s="8" t="s">
        <v>307</v>
      </c>
    </row>
    <row r="20" spans="1:2">
      <c r="A20" s="10" t="s">
        <v>434</v>
      </c>
      <c r="B20" s="8" t="s">
        <v>315</v>
      </c>
    </row>
    <row r="21" spans="1:2">
      <c r="A21" s="10" t="s">
        <v>435</v>
      </c>
      <c r="B21" s="8" t="s">
        <v>322</v>
      </c>
    </row>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C7B0E-1F77-4B1E-829F-A399D30C8C56}">
  <dimension ref="A1:C11"/>
  <sheetViews>
    <sheetView workbookViewId="0">
      <selection activeCell="E13" sqref="E13"/>
    </sheetView>
  </sheetViews>
  <sheetFormatPr defaultRowHeight="14.5"/>
  <cols>
    <col min="1" max="1" width="9.81640625" customWidth="1"/>
    <col min="2" max="2" width="14.81640625" bestFit="1" customWidth="1"/>
    <col min="3" max="3" width="20.7265625" bestFit="1" customWidth="1"/>
  </cols>
  <sheetData>
    <row r="1" spans="1:3">
      <c r="A1" s="1"/>
      <c r="B1" s="1"/>
    </row>
    <row r="2" spans="1:3">
      <c r="B2" s="10" t="s">
        <v>436</v>
      </c>
      <c r="C2" s="10" t="s">
        <v>437</v>
      </c>
    </row>
    <row r="3" spans="1:3">
      <c r="B3" s="10" t="s">
        <v>438</v>
      </c>
      <c r="C3" s="10" t="s">
        <v>439</v>
      </c>
    </row>
    <row r="4" spans="1:3">
      <c r="B4" s="10" t="s">
        <v>440</v>
      </c>
      <c r="C4" s="10" t="s">
        <v>441</v>
      </c>
    </row>
    <row r="5" spans="1:3">
      <c r="B5" s="10" t="s">
        <v>442</v>
      </c>
      <c r="C5" s="10">
        <v>2026</v>
      </c>
    </row>
    <row r="6" spans="1:3">
      <c r="B6" s="10" t="s">
        <v>443</v>
      </c>
      <c r="C6" s="11">
        <v>25000</v>
      </c>
    </row>
    <row r="7" spans="1:3">
      <c r="A7" s="2"/>
    </row>
    <row r="8" spans="1:3">
      <c r="A8" s="2"/>
    </row>
    <row r="9" spans="1:3">
      <c r="A9" s="2"/>
    </row>
    <row r="10" spans="1:3">
      <c r="A10" s="2"/>
    </row>
    <row r="11" spans="1:3">
      <c r="A11"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9AE4C-349E-4013-BFA1-A2E6554E0344}">
  <dimension ref="A3:N13"/>
  <sheetViews>
    <sheetView zoomScale="98" zoomScaleNormal="98" workbookViewId="0">
      <selection activeCell="K14" sqref="K14"/>
    </sheetView>
  </sheetViews>
  <sheetFormatPr defaultRowHeight="14.5"/>
  <cols>
    <col min="1" max="1" width="17.81640625" bestFit="1" customWidth="1"/>
    <col min="2" max="2" width="9.90625" bestFit="1" customWidth="1"/>
    <col min="4" max="4" width="10.7265625" bestFit="1" customWidth="1"/>
    <col min="5" max="5" width="9.90625" bestFit="1" customWidth="1"/>
    <col min="7" max="7" width="18" bestFit="1" customWidth="1"/>
    <col min="8" max="8" width="15.08984375" bestFit="1" customWidth="1"/>
    <col min="10" max="10" width="11.54296875" customWidth="1"/>
    <col min="11" max="11" width="9.90625" bestFit="1" customWidth="1"/>
    <col min="13" max="13" width="18.1796875" bestFit="1" customWidth="1"/>
    <col min="14" max="14" width="10.08984375" bestFit="1" customWidth="1"/>
  </cols>
  <sheetData>
    <row r="3" spans="1:14">
      <c r="A3" s="12" t="s">
        <v>444</v>
      </c>
      <c r="B3" t="s">
        <v>413</v>
      </c>
      <c r="D3" s="12" t="s">
        <v>445</v>
      </c>
      <c r="E3" t="s">
        <v>414</v>
      </c>
      <c r="G3" s="12" t="s">
        <v>446</v>
      </c>
      <c r="H3" t="s">
        <v>447</v>
      </c>
      <c r="J3" s="12" t="s">
        <v>220</v>
      </c>
      <c r="K3" t="s">
        <v>414</v>
      </c>
      <c r="M3" s="12" t="s">
        <v>5</v>
      </c>
      <c r="N3" t="s">
        <v>413</v>
      </c>
    </row>
    <row r="4" spans="1:14">
      <c r="A4" t="s">
        <v>448</v>
      </c>
      <c r="B4" s="14">
        <v>238</v>
      </c>
      <c r="D4" s="13" t="s">
        <v>448</v>
      </c>
      <c r="E4" s="14">
        <v>1578</v>
      </c>
      <c r="G4" s="13" t="s">
        <v>252</v>
      </c>
      <c r="H4" s="14">
        <v>4032</v>
      </c>
      <c r="J4" s="13" t="s">
        <v>311</v>
      </c>
      <c r="K4" s="14">
        <v>2777</v>
      </c>
      <c r="M4" s="13" t="s">
        <v>58</v>
      </c>
      <c r="N4" s="14">
        <v>13877</v>
      </c>
    </row>
    <row r="5" spans="1:14">
      <c r="A5" t="s">
        <v>449</v>
      </c>
      <c r="B5" s="14">
        <v>10606</v>
      </c>
      <c r="D5" s="13" t="s">
        <v>449</v>
      </c>
      <c r="E5" s="14">
        <v>617</v>
      </c>
      <c r="G5" s="13" t="s">
        <v>236</v>
      </c>
      <c r="H5" s="14">
        <v>2548</v>
      </c>
      <c r="J5" s="13" t="s">
        <v>229</v>
      </c>
      <c r="K5" s="14">
        <v>454</v>
      </c>
      <c r="M5" s="13" t="s">
        <v>29</v>
      </c>
      <c r="N5" s="14">
        <v>1338</v>
      </c>
    </row>
    <row r="6" spans="1:14">
      <c r="A6" t="s">
        <v>450</v>
      </c>
      <c r="B6" s="14">
        <v>4371</v>
      </c>
      <c r="D6" s="13" t="s">
        <v>450</v>
      </c>
      <c r="E6" s="14">
        <v>351</v>
      </c>
      <c r="G6" s="13" t="s">
        <v>254</v>
      </c>
      <c r="H6" s="14">
        <v>2508</v>
      </c>
      <c r="J6" s="13" t="s">
        <v>261</v>
      </c>
      <c r="K6" s="14">
        <v>1894</v>
      </c>
      <c r="M6" s="13" t="s">
        <v>457</v>
      </c>
      <c r="N6" s="14">
        <v>15215</v>
      </c>
    </row>
    <row r="7" spans="1:14">
      <c r="A7" t="s">
        <v>457</v>
      </c>
      <c r="B7" s="14">
        <v>15215</v>
      </c>
      <c r="D7" s="13" t="s">
        <v>451</v>
      </c>
      <c r="E7" s="14">
        <v>2308</v>
      </c>
      <c r="G7" s="13" t="s">
        <v>307</v>
      </c>
      <c r="H7" s="14">
        <v>1398</v>
      </c>
      <c r="J7" s="13" t="s">
        <v>246</v>
      </c>
      <c r="K7" s="14">
        <v>2014</v>
      </c>
    </row>
    <row r="8" spans="1:14">
      <c r="D8" s="13" t="s">
        <v>452</v>
      </c>
      <c r="E8" s="14">
        <v>2651</v>
      </c>
      <c r="G8" s="13" t="s">
        <v>266</v>
      </c>
      <c r="H8" s="14">
        <v>1073</v>
      </c>
      <c r="J8" s="13" t="s">
        <v>255</v>
      </c>
      <c r="K8" s="14">
        <v>5073</v>
      </c>
    </row>
    <row r="9" spans="1:14">
      <c r="D9" s="13" t="s">
        <v>453</v>
      </c>
      <c r="E9" s="14">
        <v>573</v>
      </c>
      <c r="G9" s="13" t="s">
        <v>249</v>
      </c>
      <c r="H9" s="14">
        <v>653</v>
      </c>
      <c r="J9" s="13" t="s">
        <v>457</v>
      </c>
      <c r="K9" s="14">
        <v>12212</v>
      </c>
    </row>
    <row r="10" spans="1:14">
      <c r="D10" s="13" t="s">
        <v>454</v>
      </c>
      <c r="E10" s="14">
        <v>992</v>
      </c>
      <c r="G10" s="13" t="s">
        <v>457</v>
      </c>
      <c r="H10" s="14">
        <v>12212</v>
      </c>
    </row>
    <row r="11" spans="1:14">
      <c r="D11" s="13" t="s">
        <v>455</v>
      </c>
      <c r="E11" s="14">
        <v>1783</v>
      </c>
    </row>
    <row r="12" spans="1:14">
      <c r="D12" s="13" t="s">
        <v>456</v>
      </c>
      <c r="E12" s="14">
        <v>1359</v>
      </c>
    </row>
    <row r="13" spans="1:14">
      <c r="D13" s="13" t="s">
        <v>457</v>
      </c>
      <c r="E13" s="14">
        <v>12212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Dashboard</vt:lpstr>
      <vt:lpstr>About.</vt:lpstr>
      <vt:lpstr>Calculations</vt:lpstr>
      <vt:lpstr>Income</vt:lpstr>
      <vt:lpstr>Expenses</vt:lpstr>
      <vt:lpstr>Cash Flow</vt:lpstr>
      <vt:lpstr>Categories</vt:lpstr>
      <vt:lpstr>Vendors</vt:lpstr>
      <vt:lpstr>Settings</vt:lpstr>
      <vt:lpstr>Pivot Tables</vt:lpstr>
      <vt:lpstr>ExpenseTable</vt:lpstr>
      <vt:lpstr>IncomeTable</vt:lpstr>
      <vt:lpstr>VendorTable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jatin singh</dc:creator>
  <cp:keywords/>
  <dc:description/>
  <cp:lastModifiedBy>jatin singh</cp:lastModifiedBy>
  <cp:revision/>
  <dcterms:created xsi:type="dcterms:W3CDTF">2026-07-28T13:02:14Z</dcterms:created>
  <dcterms:modified xsi:type="dcterms:W3CDTF">2026-07-29T17:41:47Z</dcterms:modified>
  <cp:category/>
  <cp:contentStatus/>
</cp:coreProperties>
</file>